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ilk\Desktop\MBA2\project_Mindtree\PROJECTS_Anil Sharma\CREDIT SCORING MODEL (Done at BFIL)\"/>
    </mc:Choice>
  </mc:AlternateContent>
  <xr:revisionPtr revIDLastSave="0" documentId="13_ncr:1_{0CE88425-DE3E-49EA-87D1-0DE262383157}" xr6:coauthVersionLast="47" xr6:coauthVersionMax="47" xr10:uidLastSave="{00000000-0000-0000-0000-000000000000}"/>
  <bookViews>
    <workbookView xWindow="-120" yWindow="-120" windowWidth="29040" windowHeight="16440" xr2:uid="{FEB25F65-3704-4521-A6D6-3A2BAF535C14}"/>
  </bookViews>
  <sheets>
    <sheet name="INPUT" sheetId="6" r:id="rId1"/>
    <sheet name="OUTPUT" sheetId="3" r:id="rId2"/>
    <sheet name="KPI Variables Considered" sheetId="7" r:id="rId3"/>
    <sheet name="Backend" sheetId="5" r:id="rId4"/>
    <sheet name="AMMORTISATION" sheetId="8" r:id="rId5"/>
  </sheets>
  <definedNames>
    <definedName name="_xlnm._FilterDatabase" localSheetId="3" hidden="1">Backend!$B$36:$E$48</definedName>
    <definedName name="_xlnm._FilterDatabase" localSheetId="0" hidden="1">INPUT!$E$6:$F$12</definedName>
    <definedName name="_xlnm._FilterDatabase" localSheetId="1" hidden="1">OUTPUT!$H$15:$H$19</definedName>
    <definedName name="_xlchart.v1.0" hidden="1">Backend!$H$31:$H$32</definedName>
    <definedName name="_xlchart.v1.1" hidden="1">Backend!$I$31:$I$32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3" l="1"/>
  <c r="K30" i="6"/>
  <c r="J7" i="6"/>
  <c r="I5" i="5"/>
  <c r="K42" i="3"/>
  <c r="B9" i="7"/>
  <c r="B10" i="7" s="1"/>
  <c r="B11" i="7" s="1"/>
  <c r="B12" i="7" s="1"/>
  <c r="B13" i="7" s="1"/>
  <c r="I12" i="5"/>
  <c r="Q22" i="5" s="1"/>
  <c r="D51" i="5"/>
  <c r="D50" i="5"/>
  <c r="D42" i="3"/>
  <c r="D41" i="3"/>
  <c r="D40" i="3"/>
  <c r="D39" i="3"/>
  <c r="D38" i="3"/>
  <c r="D37" i="3"/>
  <c r="I42" i="3"/>
  <c r="G4" i="8"/>
  <c r="J4" i="8" s="1"/>
  <c r="F4" i="8"/>
  <c r="Q21" i="5" l="1"/>
  <c r="D39" i="5"/>
  <c r="I4" i="8"/>
  <c r="J8" i="8" s="1"/>
  <c r="G8" i="8"/>
  <c r="I8" i="8" s="1"/>
  <c r="H8" i="8" l="1"/>
  <c r="J72" i="8"/>
  <c r="J25" i="8"/>
  <c r="J22" i="8"/>
  <c r="J125" i="8"/>
  <c r="J40" i="8"/>
  <c r="J148" i="8"/>
  <c r="J115" i="8"/>
  <c r="J97" i="8"/>
  <c r="J48" i="8"/>
  <c r="J134" i="8"/>
  <c r="J51" i="8"/>
  <c r="J81" i="8"/>
  <c r="J32" i="8"/>
  <c r="J62" i="8"/>
  <c r="J116" i="8"/>
  <c r="J19" i="8"/>
  <c r="J65" i="8"/>
  <c r="J16" i="8"/>
  <c r="J77" i="8"/>
  <c r="J99" i="8"/>
  <c r="J49" i="8"/>
  <c r="J159" i="8"/>
  <c r="J76" i="8"/>
  <c r="J84" i="8"/>
  <c r="J98" i="8"/>
  <c r="J33" i="8"/>
  <c r="J87" i="8"/>
  <c r="J27" i="8"/>
  <c r="J155" i="8"/>
  <c r="J50" i="8"/>
  <c r="J17" i="8"/>
  <c r="J127" i="8"/>
  <c r="J58" i="8"/>
  <c r="J52" i="8"/>
  <c r="J18" i="8"/>
  <c r="J158" i="8"/>
  <c r="J111" i="8"/>
  <c r="J57" i="8"/>
  <c r="J36" i="8"/>
  <c r="J123" i="8"/>
  <c r="J140" i="8"/>
  <c r="J95" i="8"/>
  <c r="J136" i="8"/>
  <c r="J20" i="8"/>
  <c r="J75" i="8"/>
  <c r="J74" i="8"/>
  <c r="J79" i="8"/>
  <c r="J24" i="8"/>
  <c r="J110" i="8"/>
  <c r="J90" i="8"/>
  <c r="J12" i="8"/>
  <c r="J63" i="8"/>
  <c r="J46" i="8"/>
  <c r="J14" i="8"/>
  <c r="J89" i="8"/>
  <c r="J66" i="8"/>
  <c r="J144" i="8"/>
  <c r="J156" i="8"/>
  <c r="J23" i="8"/>
  <c r="J55" i="8"/>
  <c r="J34" i="8"/>
  <c r="J103" i="8"/>
  <c r="J128" i="8"/>
  <c r="J28" i="8"/>
  <c r="J92" i="8"/>
  <c r="J70" i="8"/>
  <c r="J43" i="8"/>
  <c r="J118" i="8"/>
  <c r="J10" i="8"/>
  <c r="J161" i="8"/>
  <c r="J54" i="8"/>
  <c r="J112" i="8"/>
  <c r="J15" i="8"/>
  <c r="J13" i="8"/>
  <c r="J73" i="8"/>
  <c r="J101" i="8"/>
  <c r="J137" i="8"/>
  <c r="J21" i="8"/>
  <c r="J150" i="8"/>
  <c r="J129" i="8"/>
  <c r="J30" i="8"/>
  <c r="J80" i="8"/>
  <c r="J153" i="8"/>
  <c r="J53" i="8"/>
  <c r="J163" i="8"/>
  <c r="J113" i="8"/>
  <c r="J64" i="8"/>
  <c r="J119" i="8"/>
  <c r="J120" i="8"/>
  <c r="J133" i="8"/>
  <c r="J108" i="8"/>
  <c r="J135" i="8"/>
  <c r="J132" i="8"/>
  <c r="J71" i="8"/>
  <c r="J85" i="8"/>
  <c r="J122" i="8"/>
  <c r="J142" i="8"/>
  <c r="J69" i="8"/>
  <c r="J86" i="8"/>
  <c r="J37" i="8"/>
  <c r="J121" i="8"/>
  <c r="J44" i="8"/>
  <c r="J157" i="8"/>
  <c r="J100" i="8"/>
  <c r="J162" i="8"/>
  <c r="J131" i="8"/>
  <c r="J152" i="8"/>
  <c r="J139" i="8"/>
  <c r="J29" i="8"/>
  <c r="J94" i="8"/>
  <c r="J67" i="8"/>
  <c r="J143" i="8"/>
  <c r="J91" i="8"/>
  <c r="J68" i="8"/>
  <c r="J45" i="8"/>
  <c r="J35" i="8"/>
  <c r="J102" i="8"/>
  <c r="J42" i="8"/>
  <c r="J59" i="8"/>
  <c r="J60" i="8"/>
  <c r="J146" i="8"/>
  <c r="J117" i="8"/>
  <c r="J78" i="8"/>
  <c r="J106" i="8"/>
  <c r="J107" i="8"/>
  <c r="J130" i="8"/>
  <c r="J147" i="8"/>
  <c r="J141" i="8"/>
  <c r="J105" i="8"/>
  <c r="J26" i="8"/>
  <c r="J114" i="8"/>
  <c r="J83" i="8"/>
  <c r="J61" i="8"/>
  <c r="J88" i="8"/>
  <c r="J41" i="8"/>
  <c r="J82" i="8"/>
  <c r="J160" i="8"/>
  <c r="J93" i="8"/>
  <c r="J151" i="8"/>
  <c r="J56" i="8"/>
  <c r="J104" i="8"/>
  <c r="J47" i="8"/>
  <c r="J109" i="8"/>
  <c r="J124" i="8"/>
  <c r="J11" i="8"/>
  <c r="J31" i="8"/>
  <c r="J9" i="8"/>
  <c r="J138" i="8"/>
  <c r="J149" i="8"/>
  <c r="J154" i="8"/>
  <c r="J38" i="8"/>
  <c r="J39" i="8"/>
  <c r="J145" i="8"/>
  <c r="J126" i="8"/>
  <c r="J96" i="8"/>
  <c r="K8" i="8"/>
  <c r="G9" i="8" s="1"/>
  <c r="I9" i="8" s="1"/>
  <c r="H9" i="8" l="1"/>
  <c r="K9" i="8" s="1"/>
  <c r="G10" i="8" l="1"/>
  <c r="I10" i="8" s="1"/>
  <c r="H10" i="8" s="1"/>
  <c r="K10" i="8" s="1"/>
  <c r="G11" i="8" l="1"/>
  <c r="I11" i="8" s="1"/>
  <c r="H11" i="8" s="1"/>
  <c r="K11" i="8" s="1"/>
  <c r="G12" i="8" s="1"/>
  <c r="I12" i="8" l="1"/>
  <c r="H12" i="8" s="1"/>
  <c r="K12" i="8" s="1"/>
  <c r="G13" i="8" l="1"/>
  <c r="I13" i="8" s="1"/>
  <c r="H13" i="8" s="1"/>
  <c r="K13" i="8" s="1"/>
  <c r="G14" i="8" l="1"/>
  <c r="I14" i="8" s="1"/>
  <c r="H14" i="8" s="1"/>
  <c r="K14" i="8" s="1"/>
  <c r="G15" i="8" l="1"/>
  <c r="I15" i="8" s="1"/>
  <c r="H15" i="8" s="1"/>
  <c r="K15" i="8" s="1"/>
  <c r="G16" i="8" l="1"/>
  <c r="I16" i="8" s="1"/>
  <c r="H16" i="8" s="1"/>
  <c r="K16" i="8" s="1"/>
  <c r="G17" i="8" l="1"/>
  <c r="I17" i="8" s="1"/>
  <c r="H17" i="8" s="1"/>
  <c r="K17" i="8" s="1"/>
  <c r="G18" i="8" l="1"/>
  <c r="I18" i="8" s="1"/>
  <c r="H18" i="8" s="1"/>
  <c r="K18" i="8" s="1"/>
  <c r="G19" i="8" l="1"/>
  <c r="I19" i="8" s="1"/>
  <c r="H19" i="8" s="1"/>
  <c r="K19" i="8" s="1"/>
  <c r="G20" i="8" l="1"/>
  <c r="I20" i="8" s="1"/>
  <c r="H20" i="8" s="1"/>
  <c r="K20" i="8" s="1"/>
  <c r="G21" i="8" l="1"/>
  <c r="I21" i="8" s="1"/>
  <c r="H21" i="8" s="1"/>
  <c r="K21" i="8" s="1"/>
  <c r="G22" i="8" l="1"/>
  <c r="I22" i="8" s="1"/>
  <c r="H22" i="8" s="1"/>
  <c r="K22" i="8" s="1"/>
  <c r="G23" i="8" s="1"/>
  <c r="I23" i="8" s="1"/>
  <c r="H23" i="8" s="1"/>
  <c r="K23" i="8" s="1"/>
  <c r="G24" i="8" s="1"/>
  <c r="I24" i="8" l="1"/>
  <c r="H24" i="8" s="1"/>
  <c r="K24" i="8" s="1"/>
  <c r="G25" i="8" s="1"/>
  <c r="I25" i="8" l="1"/>
  <c r="H25" i="8" s="1"/>
  <c r="K25" i="8" s="1"/>
  <c r="G26" i="8" s="1"/>
  <c r="I26" i="8" l="1"/>
  <c r="H26" i="8" s="1"/>
  <c r="K26" i="8" s="1"/>
  <c r="G27" i="8" s="1"/>
  <c r="I27" i="8" l="1"/>
  <c r="H27" i="8" s="1"/>
  <c r="K27" i="8" s="1"/>
  <c r="G28" i="8" l="1"/>
  <c r="I28" i="8" s="1"/>
  <c r="H28" i="8" s="1"/>
  <c r="K28" i="8" s="1"/>
  <c r="G29" i="8" l="1"/>
  <c r="I29" i="8" s="1"/>
  <c r="H29" i="8" s="1"/>
  <c r="K29" i="8" s="1"/>
  <c r="G30" i="8" l="1"/>
  <c r="I30" i="8" s="1"/>
  <c r="H30" i="8" s="1"/>
  <c r="K30" i="8" s="1"/>
  <c r="G31" i="8" s="1"/>
  <c r="I31" i="8" s="1"/>
  <c r="H31" i="8" s="1"/>
  <c r="K31" i="8" s="1"/>
  <c r="G32" i="8" s="1"/>
  <c r="I32" i="8" s="1"/>
  <c r="H32" i="8" s="1"/>
  <c r="K32" i="8" s="1"/>
  <c r="G33" i="8" s="1"/>
  <c r="I33" i="8" s="1"/>
  <c r="H33" i="8" s="1"/>
  <c r="K33" i="8" s="1"/>
  <c r="G34" i="8" l="1"/>
  <c r="I34" i="8" s="1"/>
  <c r="H34" i="8" s="1"/>
  <c r="K34" i="8" s="1"/>
  <c r="G35" i="8" l="1"/>
  <c r="I35" i="8" s="1"/>
  <c r="H35" i="8" s="1"/>
  <c r="K35" i="8" s="1"/>
  <c r="G36" i="8" l="1"/>
  <c r="I36" i="8" s="1"/>
  <c r="H36" i="8" s="1"/>
  <c r="K36" i="8" s="1"/>
  <c r="G37" i="8" l="1"/>
  <c r="I37" i="8" s="1"/>
  <c r="H37" i="8" s="1"/>
  <c r="K37" i="8" s="1"/>
  <c r="G38" i="8" l="1"/>
  <c r="I38" i="8" s="1"/>
  <c r="H38" i="8" s="1"/>
  <c r="K38" i="8" s="1"/>
  <c r="G39" i="8" l="1"/>
  <c r="I39" i="8" s="1"/>
  <c r="H39" i="8" s="1"/>
  <c r="K39" i="8" s="1"/>
  <c r="G40" i="8" l="1"/>
  <c r="I40" i="8" s="1"/>
  <c r="H40" i="8" s="1"/>
  <c r="K40" i="8" s="1"/>
  <c r="G41" i="8" l="1"/>
  <c r="I41" i="8" s="1"/>
  <c r="H41" i="8" s="1"/>
  <c r="K41" i="8" s="1"/>
  <c r="G42" i="8" l="1"/>
  <c r="I42" i="8" s="1"/>
  <c r="H42" i="8" s="1"/>
  <c r="K42" i="8" s="1"/>
  <c r="G43" i="8" l="1"/>
  <c r="I43" i="8" s="1"/>
  <c r="H43" i="8" s="1"/>
  <c r="K43" i="8" s="1"/>
  <c r="G44" i="8" l="1"/>
  <c r="I44" i="8" s="1"/>
  <c r="H44" i="8" s="1"/>
  <c r="K44" i="8" s="1"/>
  <c r="G45" i="8" l="1"/>
  <c r="I45" i="8" s="1"/>
  <c r="H45" i="8" s="1"/>
  <c r="K45" i="8" s="1"/>
  <c r="G46" i="8" l="1"/>
  <c r="I46" i="8" s="1"/>
  <c r="H46" i="8" s="1"/>
  <c r="K46" i="8" s="1"/>
  <c r="G47" i="8" l="1"/>
  <c r="I47" i="8" s="1"/>
  <c r="H47" i="8" s="1"/>
  <c r="K47" i="8" s="1"/>
  <c r="G48" i="8" l="1"/>
  <c r="I48" i="8" s="1"/>
  <c r="H48" i="8" s="1"/>
  <c r="K48" i="8" s="1"/>
  <c r="G49" i="8" l="1"/>
  <c r="I49" i="8" s="1"/>
  <c r="H49" i="8" s="1"/>
  <c r="K49" i="8" s="1"/>
  <c r="G50" i="8" l="1"/>
  <c r="I50" i="8" s="1"/>
  <c r="H50" i="8" s="1"/>
  <c r="K50" i="8" s="1"/>
  <c r="G51" i="8" l="1"/>
  <c r="I51" i="8" s="1"/>
  <c r="H51" i="8" s="1"/>
  <c r="K51" i="8" s="1"/>
  <c r="G52" i="8" l="1"/>
  <c r="I52" i="8" s="1"/>
  <c r="H52" i="8" s="1"/>
  <c r="K52" i="8" s="1"/>
  <c r="G53" i="8" l="1"/>
  <c r="I53" i="8" s="1"/>
  <c r="H53" i="8" s="1"/>
  <c r="K53" i="8" s="1"/>
  <c r="G54" i="8" l="1"/>
  <c r="I54" i="8" s="1"/>
  <c r="H54" i="8" s="1"/>
  <c r="K54" i="8" s="1"/>
  <c r="G55" i="8" l="1"/>
  <c r="I55" i="8" s="1"/>
  <c r="H55" i="8" s="1"/>
  <c r="K55" i="8" s="1"/>
  <c r="G56" i="8" l="1"/>
  <c r="I56" i="8" s="1"/>
  <c r="H56" i="8" l="1"/>
  <c r="K56" i="8" s="1"/>
  <c r="G57" i="8" l="1"/>
  <c r="I57" i="8" s="1"/>
  <c r="H57" i="8" l="1"/>
  <c r="K57" i="8" s="1"/>
  <c r="G58" i="8" l="1"/>
  <c r="I58" i="8" s="1"/>
  <c r="H58" i="8" l="1"/>
  <c r="K58" i="8" s="1"/>
  <c r="G59" i="8" l="1"/>
  <c r="I59" i="8" s="1"/>
  <c r="H59" i="8" l="1"/>
  <c r="K59" i="8" s="1"/>
  <c r="G60" i="8" l="1"/>
  <c r="I60" i="8" s="1"/>
  <c r="H60" i="8" l="1"/>
  <c r="K60" i="8" s="1"/>
  <c r="G61" i="8" l="1"/>
  <c r="I61" i="8" s="1"/>
  <c r="H61" i="8" l="1"/>
  <c r="K61" i="8" s="1"/>
  <c r="N4" i="8"/>
  <c r="G62" i="8" l="1"/>
  <c r="I62" i="8" s="1"/>
  <c r="H62" i="8" s="1"/>
  <c r="K62" i="8" s="1"/>
  <c r="G63" i="8" l="1"/>
  <c r="I63" i="8" s="1"/>
  <c r="H63" i="8" s="1"/>
  <c r="K63" i="8" s="1"/>
  <c r="G64" i="8" l="1"/>
  <c r="I64" i="8" s="1"/>
  <c r="H64" i="8" s="1"/>
  <c r="K64" i="8" s="1"/>
  <c r="G65" i="8" l="1"/>
  <c r="I65" i="8" s="1"/>
  <c r="H65" i="8" s="1"/>
  <c r="K65" i="8" s="1"/>
  <c r="G66" i="8" l="1"/>
  <c r="I66" i="8" s="1"/>
  <c r="H66" i="8" s="1"/>
  <c r="K66" i="8" s="1"/>
  <c r="G67" i="8" l="1"/>
  <c r="I67" i="8" s="1"/>
  <c r="H67" i="8" s="1"/>
  <c r="K67" i="8" s="1"/>
  <c r="G68" i="8" l="1"/>
  <c r="I68" i="8" s="1"/>
  <c r="H68" i="8" s="1"/>
  <c r="K68" i="8" s="1"/>
  <c r="G69" i="8" l="1"/>
  <c r="I69" i="8" s="1"/>
  <c r="H69" i="8" s="1"/>
  <c r="K69" i="8" s="1"/>
  <c r="G70" i="8" l="1"/>
  <c r="I70" i="8" s="1"/>
  <c r="H70" i="8" s="1"/>
  <c r="K70" i="8" s="1"/>
  <c r="G71" i="8" l="1"/>
  <c r="I71" i="8" s="1"/>
  <c r="H71" i="8" l="1"/>
  <c r="K71" i="8" s="1"/>
  <c r="G72" i="8" l="1"/>
  <c r="I72" i="8" s="1"/>
  <c r="H72" i="8" l="1"/>
  <c r="K72" i="8" s="1"/>
  <c r="G73" i="8" l="1"/>
  <c r="I73" i="8" s="1"/>
  <c r="H73" i="8" l="1"/>
  <c r="K73" i="8" s="1"/>
  <c r="G74" i="8" l="1"/>
  <c r="I74" i="8" s="1"/>
  <c r="H74" i="8" l="1"/>
  <c r="K74" i="8" s="1"/>
  <c r="G75" i="8" l="1"/>
  <c r="I75" i="8" s="1"/>
  <c r="H75" i="8" l="1"/>
  <c r="K75" i="8" s="1"/>
  <c r="G76" i="8" l="1"/>
  <c r="I76" i="8" s="1"/>
  <c r="H76" i="8" s="1"/>
  <c r="K76" i="8" s="1"/>
  <c r="G77" i="8" l="1"/>
  <c r="I77" i="8" s="1"/>
  <c r="H77" i="8" s="1"/>
  <c r="K77" i="8" s="1"/>
  <c r="G78" i="8" l="1"/>
  <c r="I78" i="8" s="1"/>
  <c r="H78" i="8" s="1"/>
  <c r="K78" i="8" s="1"/>
  <c r="G79" i="8" l="1"/>
  <c r="I79" i="8" s="1"/>
  <c r="H79" i="8" s="1"/>
  <c r="K79" i="8" s="1"/>
  <c r="G80" i="8" l="1"/>
  <c r="I80" i="8" s="1"/>
  <c r="H80" i="8" s="1"/>
  <c r="K80" i="8" s="1"/>
  <c r="G81" i="8" l="1"/>
  <c r="I81" i="8" s="1"/>
  <c r="H81" i="8" s="1"/>
  <c r="K81" i="8" s="1"/>
  <c r="G82" i="8" l="1"/>
  <c r="I82" i="8" s="1"/>
  <c r="H82" i="8" l="1"/>
  <c r="K82" i="8" s="1"/>
  <c r="O4" i="8"/>
  <c r="G83" i="8" l="1"/>
  <c r="I83" i="8" s="1"/>
  <c r="H83" i="8" s="1"/>
  <c r="K83" i="8" s="1"/>
  <c r="G84" i="8" l="1"/>
  <c r="I84" i="8" s="1"/>
  <c r="H84" i="8" s="1"/>
  <c r="K84" i="8" s="1"/>
  <c r="G85" i="8" l="1"/>
  <c r="I85" i="8" s="1"/>
  <c r="H85" i="8" s="1"/>
  <c r="K85" i="8" s="1"/>
  <c r="G86" i="8" l="1"/>
  <c r="I86" i="8" s="1"/>
  <c r="H86" i="8" s="1"/>
  <c r="K86" i="8" s="1"/>
  <c r="G87" i="8" l="1"/>
  <c r="I87" i="8" s="1"/>
  <c r="H87" i="8" s="1"/>
  <c r="K87" i="8" s="1"/>
  <c r="G88" i="8" l="1"/>
  <c r="I88" i="8" s="1"/>
  <c r="H88" i="8" s="1"/>
  <c r="K88" i="8" s="1"/>
  <c r="G89" i="8" l="1"/>
  <c r="I89" i="8" s="1"/>
  <c r="H89" i="8" s="1"/>
  <c r="K89" i="8" s="1"/>
  <c r="G90" i="8" l="1"/>
  <c r="I90" i="8" s="1"/>
  <c r="H90" i="8" s="1"/>
  <c r="K90" i="8" s="1"/>
  <c r="G91" i="8" l="1"/>
  <c r="I91" i="8" s="1"/>
  <c r="H91" i="8" s="1"/>
  <c r="K91" i="8" s="1"/>
  <c r="G92" i="8" l="1"/>
  <c r="I92" i="8" s="1"/>
  <c r="H92" i="8" s="1"/>
  <c r="K92" i="8" s="1"/>
  <c r="G93" i="8" l="1"/>
  <c r="I93" i="8" s="1"/>
  <c r="H93" i="8" s="1"/>
  <c r="K93" i="8" s="1"/>
  <c r="G94" i="8" l="1"/>
  <c r="I94" i="8" s="1"/>
  <c r="H94" i="8" l="1"/>
  <c r="K94" i="8" s="1"/>
  <c r="G95" i="8" l="1"/>
  <c r="I95" i="8" s="1"/>
  <c r="H95" i="8" l="1"/>
  <c r="K95" i="8" s="1"/>
  <c r="G96" i="8" l="1"/>
  <c r="I96" i="8" s="1"/>
  <c r="H96" i="8" l="1"/>
  <c r="K96" i="8" s="1"/>
  <c r="G97" i="8" l="1"/>
  <c r="I97" i="8" s="1"/>
  <c r="H97" i="8" l="1"/>
  <c r="K97" i="8" s="1"/>
  <c r="G98" i="8" l="1"/>
  <c r="I98" i="8" s="1"/>
  <c r="H98" i="8" l="1"/>
  <c r="K98" i="8" s="1"/>
  <c r="G99" i="8" l="1"/>
  <c r="I99" i="8" s="1"/>
  <c r="H99" i="8" s="1"/>
  <c r="K99" i="8" s="1"/>
  <c r="G100" i="8" l="1"/>
  <c r="I100" i="8" s="1"/>
  <c r="H100" i="8" s="1"/>
  <c r="K100" i="8" s="1"/>
  <c r="G101" i="8" l="1"/>
  <c r="I101" i="8" s="1"/>
  <c r="H101" i="8" s="1"/>
  <c r="K101" i="8" s="1"/>
  <c r="G102" i="8" l="1"/>
  <c r="I102" i="8" s="1"/>
  <c r="H102" i="8" s="1"/>
  <c r="K102" i="8" s="1"/>
  <c r="G103" i="8" l="1"/>
  <c r="I103" i="8" s="1"/>
  <c r="H103" i="8" s="1"/>
  <c r="K103" i="8" s="1"/>
  <c r="G104" i="8" l="1"/>
  <c r="I104" i="8" s="1"/>
  <c r="H104" i="8" s="1"/>
  <c r="K104" i="8" s="1"/>
  <c r="G105" i="8" l="1"/>
  <c r="I105" i="8" s="1"/>
  <c r="H105" i="8" s="1"/>
  <c r="K105" i="8" s="1"/>
  <c r="G106" i="8" l="1"/>
  <c r="I106" i="8" s="1"/>
  <c r="H106" i="8" s="1"/>
  <c r="K106" i="8" s="1"/>
  <c r="G107" i="8" l="1"/>
  <c r="I107" i="8" s="1"/>
  <c r="H107" i="8" s="1"/>
  <c r="K107" i="8" s="1"/>
  <c r="G108" i="8" l="1"/>
  <c r="I108" i="8" s="1"/>
  <c r="H108" i="8" s="1"/>
  <c r="K108" i="8" s="1"/>
  <c r="G109" i="8" l="1"/>
  <c r="I109" i="8" s="1"/>
  <c r="H109" i="8" s="1"/>
  <c r="K109" i="8" s="1"/>
  <c r="G110" i="8" l="1"/>
  <c r="I110" i="8" l="1"/>
  <c r="H110" i="8" s="1"/>
  <c r="K110" i="8" s="1"/>
  <c r="G111" i="8" l="1"/>
  <c r="I111" i="8" s="1"/>
  <c r="H111" i="8" l="1"/>
  <c r="K111" i="8" s="1"/>
  <c r="P4" i="8"/>
  <c r="G112" i="8" l="1"/>
  <c r="I112" i="8" s="1"/>
  <c r="H112" i="8" s="1"/>
  <c r="K112" i="8" s="1"/>
  <c r="G113" i="8" l="1"/>
  <c r="I113" i="8" s="1"/>
  <c r="H113" i="8" s="1"/>
  <c r="K113" i="8" s="1"/>
  <c r="G114" i="8" l="1"/>
  <c r="I114" i="8" s="1"/>
  <c r="H114" i="8" s="1"/>
  <c r="K114" i="8" s="1"/>
  <c r="G115" i="8" l="1"/>
  <c r="I115" i="8" s="1"/>
  <c r="H115" i="8" s="1"/>
  <c r="K115" i="8" s="1"/>
  <c r="G116" i="8" l="1"/>
  <c r="I116" i="8" s="1"/>
  <c r="H116" i="8" s="1"/>
  <c r="K116" i="8" s="1"/>
  <c r="G117" i="8" l="1"/>
  <c r="I117" i="8" s="1"/>
  <c r="H117" i="8" s="1"/>
  <c r="K117" i="8" s="1"/>
  <c r="G118" i="8" l="1"/>
  <c r="I118" i="8" s="1"/>
  <c r="H118" i="8" s="1"/>
  <c r="K118" i="8" s="1"/>
  <c r="G119" i="8" l="1"/>
  <c r="I119" i="8" s="1"/>
  <c r="H119" i="8" s="1"/>
  <c r="K119" i="8" s="1"/>
  <c r="G120" i="8" l="1"/>
  <c r="I120" i="8" s="1"/>
  <c r="H120" i="8" s="1"/>
  <c r="K120" i="8" s="1"/>
  <c r="G121" i="8" l="1"/>
  <c r="I121" i="8" s="1"/>
  <c r="H121" i="8" s="1"/>
  <c r="K121" i="8" s="1"/>
  <c r="G122" i="8" l="1"/>
  <c r="I122" i="8" s="1"/>
  <c r="H122" i="8" s="1"/>
  <c r="K122" i="8" s="1"/>
  <c r="G123" i="8" l="1"/>
  <c r="I123" i="8" s="1"/>
  <c r="H123" i="8" s="1"/>
  <c r="K123" i="8" s="1"/>
  <c r="G124" i="8" l="1"/>
  <c r="I124" i="8" s="1"/>
  <c r="H124" i="8" s="1"/>
  <c r="K124" i="8" s="1"/>
  <c r="G125" i="8" l="1"/>
  <c r="I125" i="8" s="1"/>
  <c r="H125" i="8" s="1"/>
  <c r="K125" i="8" s="1"/>
  <c r="G126" i="8" l="1"/>
  <c r="I126" i="8" s="1"/>
  <c r="H126" i="8" s="1"/>
  <c r="K126" i="8" s="1"/>
  <c r="G127" i="8" l="1"/>
  <c r="I127" i="8" s="1"/>
  <c r="H127" i="8" s="1"/>
  <c r="K127" i="8" s="1"/>
  <c r="G128" i="8" l="1"/>
  <c r="I128" i="8" s="1"/>
  <c r="H128" i="8" s="1"/>
  <c r="K128" i="8" s="1"/>
  <c r="G129" i="8" l="1"/>
  <c r="I129" i="8" s="1"/>
  <c r="H129" i="8" s="1"/>
  <c r="K129" i="8" s="1"/>
  <c r="G130" i="8" l="1"/>
  <c r="I130" i="8" s="1"/>
  <c r="H130" i="8" s="1"/>
  <c r="K130" i="8" s="1"/>
  <c r="G131" i="8" l="1"/>
  <c r="I131" i="8" s="1"/>
  <c r="H131" i="8" s="1"/>
  <c r="K131" i="8" s="1"/>
  <c r="G132" i="8" l="1"/>
  <c r="I132" i="8" s="1"/>
  <c r="H132" i="8" s="1"/>
  <c r="K132" i="8" s="1"/>
  <c r="G133" i="8" l="1"/>
  <c r="I133" i="8" s="1"/>
  <c r="H133" i="8" s="1"/>
  <c r="K133" i="8" s="1"/>
  <c r="G134" i="8" l="1"/>
  <c r="I134" i="8" s="1"/>
  <c r="H134" i="8" s="1"/>
  <c r="K134" i="8" s="1"/>
  <c r="G135" i="8" l="1"/>
  <c r="I135" i="8" s="1"/>
  <c r="H135" i="8" s="1"/>
  <c r="K135" i="8" s="1"/>
  <c r="G136" i="8" l="1"/>
  <c r="I136" i="8" s="1"/>
  <c r="H136" i="8" s="1"/>
  <c r="K136" i="8" s="1"/>
  <c r="G137" i="8" l="1"/>
  <c r="I137" i="8" s="1"/>
  <c r="H137" i="8" s="1"/>
  <c r="K137" i="8" s="1"/>
  <c r="G138" i="8" l="1"/>
  <c r="I138" i="8" s="1"/>
  <c r="H138" i="8" s="1"/>
  <c r="K138" i="8" s="1"/>
  <c r="G139" i="8" l="1"/>
  <c r="I139" i="8" s="1"/>
  <c r="H139" i="8" l="1"/>
  <c r="K139" i="8" s="1"/>
  <c r="C6" i="3"/>
  <c r="I7" i="6"/>
  <c r="G140" i="8" l="1"/>
  <c r="I140" i="8" s="1"/>
  <c r="J47" i="5"/>
  <c r="I7" i="3" a="1"/>
  <c r="I7" i="3" s="1"/>
  <c r="Q9" i="7"/>
  <c r="R4" i="7"/>
  <c r="F21" i="5"/>
  <c r="I4" i="7"/>
  <c r="R18" i="5"/>
  <c r="K37" i="3" s="1"/>
  <c r="R7" i="5"/>
  <c r="R22" i="5"/>
  <c r="E17" i="3"/>
  <c r="J41" i="3"/>
  <c r="O12" i="7"/>
  <c r="O4" i="7"/>
  <c r="H16" i="3"/>
  <c r="H17" i="3"/>
  <c r="H18" i="3"/>
  <c r="H19" i="3"/>
  <c r="I41" i="3"/>
  <c r="I80" i="5"/>
  <c r="J80" i="5"/>
  <c r="J79" i="5"/>
  <c r="I79" i="5"/>
  <c r="Q46" i="5"/>
  <c r="I39" i="3"/>
  <c r="K39" i="3"/>
  <c r="I40" i="3"/>
  <c r="I43" i="3"/>
  <c r="B42" i="3"/>
  <c r="B43" i="3"/>
  <c r="I34" i="3"/>
  <c r="I35" i="3"/>
  <c r="J35" i="3"/>
  <c r="K35" i="3"/>
  <c r="I36" i="3"/>
  <c r="K36" i="3"/>
  <c r="I37" i="3"/>
  <c r="I38" i="3"/>
  <c r="K38" i="3"/>
  <c r="C36" i="3"/>
  <c r="D36" i="3"/>
  <c r="B35" i="3"/>
  <c r="B36" i="3"/>
  <c r="B37" i="3"/>
  <c r="B38" i="3"/>
  <c r="B39" i="3"/>
  <c r="B40" i="3"/>
  <c r="B41" i="3"/>
  <c r="B34" i="3"/>
  <c r="I74" i="5" a="1"/>
  <c r="Q11" i="5" s="1" a="1"/>
  <c r="Q11" i="5" s="1"/>
  <c r="I13" i="7"/>
  <c r="H9" i="7"/>
  <c r="L7" i="7"/>
  <c r="L4" i="7" s="1"/>
  <c r="F15" i="7"/>
  <c r="F4" i="7"/>
  <c r="C17" i="7"/>
  <c r="R21" i="5"/>
  <c r="K40" i="3" s="1"/>
  <c r="J40" i="3"/>
  <c r="Q38" i="5"/>
  <c r="F11" i="5"/>
  <c r="R10" i="5"/>
  <c r="N83" i="5"/>
  <c r="N74" i="5"/>
  <c r="M79" i="5"/>
  <c r="C16" i="5"/>
  <c r="Q17" i="5" s="1"/>
  <c r="J36" i="3" s="1"/>
  <c r="C7" i="5"/>
  <c r="C17" i="5"/>
  <c r="C15" i="3" s="1"/>
  <c r="N51" i="5"/>
  <c r="R9" i="5" s="1"/>
  <c r="F4" i="5"/>
  <c r="C26" i="5"/>
  <c r="C61" i="5" s="1"/>
  <c r="C23" i="5"/>
  <c r="C21" i="3" s="1"/>
  <c r="C20" i="5"/>
  <c r="C18" i="3" s="1"/>
  <c r="C19" i="5"/>
  <c r="C11" i="5"/>
  <c r="Q9" i="5" s="1"/>
  <c r="C39" i="3" s="1"/>
  <c r="C9" i="5"/>
  <c r="Q8" i="5" s="1"/>
  <c r="C38" i="3" s="1"/>
  <c r="R8" i="5"/>
  <c r="N38" i="5"/>
  <c r="N18" i="5"/>
  <c r="N5" i="5"/>
  <c r="D40" i="5"/>
  <c r="H21" i="5"/>
  <c r="H20" i="5"/>
  <c r="H19" i="5"/>
  <c r="H18" i="5"/>
  <c r="M10" i="5"/>
  <c r="M11" i="5" s="1"/>
  <c r="M12" i="5" s="1"/>
  <c r="M13" i="5" s="1"/>
  <c r="M14" i="5" s="1"/>
  <c r="C4" i="5"/>
  <c r="C4" i="3"/>
  <c r="R25" i="5" l="1"/>
  <c r="K43" i="3" s="1"/>
  <c r="Q18" i="5"/>
  <c r="J37" i="3" s="1"/>
  <c r="Q10" i="5"/>
  <c r="C40" i="3" s="1"/>
  <c r="I74" i="5"/>
  <c r="Q12" i="5" a="1"/>
  <c r="Q12" i="5" s="1"/>
  <c r="C42" i="3" s="1"/>
  <c r="C41" i="3"/>
  <c r="H140" i="8"/>
  <c r="K140" i="8" s="1"/>
  <c r="K41" i="3"/>
  <c r="J81" i="5"/>
  <c r="F19" i="3"/>
  <c r="C14" i="3"/>
  <c r="C8" i="5"/>
  <c r="F18" i="5"/>
  <c r="C17" i="3"/>
  <c r="C24" i="3"/>
  <c r="H53" i="5"/>
  <c r="G53" i="5" s="1"/>
  <c r="C18" i="5"/>
  <c r="R13" i="5"/>
  <c r="D43" i="3" s="1"/>
  <c r="D43" i="5"/>
  <c r="D41" i="5"/>
  <c r="D48" i="5"/>
  <c r="D47" i="5"/>
  <c r="D46" i="5"/>
  <c r="D45" i="5"/>
  <c r="D44" i="5"/>
  <c r="D42" i="5"/>
  <c r="F16" i="3" l="1"/>
  <c r="F7" i="6"/>
  <c r="Q7" i="5"/>
  <c r="C37" i="3" s="1"/>
  <c r="G141" i="8"/>
  <c r="I141" i="8" s="1"/>
  <c r="C8" i="3"/>
  <c r="F17" i="5"/>
  <c r="F16" i="5"/>
  <c r="C16" i="3"/>
  <c r="I53" i="5"/>
  <c r="F22" i="3" s="1"/>
  <c r="C24" i="5"/>
  <c r="F19" i="5" s="1"/>
  <c r="C60" i="5"/>
  <c r="C62" i="5" s="1"/>
  <c r="Q19" i="5" l="1"/>
  <c r="J38" i="3" s="1"/>
  <c r="F14" i="3"/>
  <c r="F15" i="3"/>
  <c r="H141" i="8"/>
  <c r="K141" i="8" s="1"/>
  <c r="Q13" i="5"/>
  <c r="C25" i="5"/>
  <c r="C22" i="3"/>
  <c r="F17" i="3" s="1"/>
  <c r="G142" i="8" l="1"/>
  <c r="I142" i="8" s="1"/>
  <c r="C43" i="3"/>
  <c r="C27" i="5"/>
  <c r="C23" i="3"/>
  <c r="H142" i="8" l="1"/>
  <c r="K142" i="8" s="1"/>
  <c r="C25" i="3"/>
  <c r="J28" i="3" s="1"/>
  <c r="C33" i="5"/>
  <c r="K20" i="5" s="1"/>
  <c r="K18" i="3" s="1"/>
  <c r="C34" i="5"/>
  <c r="C32" i="5"/>
  <c r="I19" i="5" s="1"/>
  <c r="C31" i="5"/>
  <c r="N64" i="5"/>
  <c r="I18" i="3" l="1"/>
  <c r="J18" i="3"/>
  <c r="K18" i="5"/>
  <c r="K16" i="3" s="1"/>
  <c r="I18" i="5"/>
  <c r="I16" i="3" s="1"/>
  <c r="K21" i="5"/>
  <c r="K19" i="3" s="1"/>
  <c r="I21" i="5"/>
  <c r="G143" i="8"/>
  <c r="I143" i="8" s="1"/>
  <c r="N61" i="5"/>
  <c r="J18" i="5"/>
  <c r="K19" i="5"/>
  <c r="K17" i="3" s="1"/>
  <c r="J19" i="5"/>
  <c r="I20" i="5"/>
  <c r="J20" i="5"/>
  <c r="J21" i="5"/>
  <c r="J29" i="3"/>
  <c r="J26" i="3"/>
  <c r="J16" i="3" s="1"/>
  <c r="J27" i="3"/>
  <c r="I19" i="3" l="1"/>
  <c r="J19" i="3"/>
  <c r="J17" i="3"/>
  <c r="I17" i="3"/>
  <c r="H143" i="8"/>
  <c r="K143" i="8" s="1"/>
  <c r="J41" i="5"/>
  <c r="J40" i="5"/>
  <c r="H30" i="5"/>
  <c r="H29" i="5"/>
  <c r="I31" i="5" s="1"/>
  <c r="Q23" i="5" l="1"/>
  <c r="J42" i="3" s="1"/>
  <c r="Q20" i="5"/>
  <c r="J39" i="3" s="1"/>
  <c r="I22" i="3"/>
  <c r="G144" i="8"/>
  <c r="I144" i="8" s="1"/>
  <c r="H144" i="8" s="1"/>
  <c r="K144" i="8" s="1"/>
  <c r="I32" i="5"/>
  <c r="E67" i="5"/>
  <c r="H67" i="5"/>
  <c r="H68" i="5"/>
  <c r="J22" i="3" l="1"/>
  <c r="K14" i="6" s="1"/>
  <c r="J14" i="6"/>
  <c r="G145" i="8"/>
  <c r="I145" i="8" s="1"/>
  <c r="H145" i="8" s="1"/>
  <c r="K145" i="8" s="1"/>
  <c r="Q25" i="5"/>
  <c r="G7" i="5"/>
  <c r="J43" i="3" l="1"/>
  <c r="F7" i="5"/>
  <c r="G146" i="8"/>
  <c r="I146" i="8" s="1"/>
  <c r="H146" i="8" s="1"/>
  <c r="K146" i="8" s="1"/>
  <c r="I7" i="5" l="1"/>
  <c r="F9" i="3" s="1"/>
  <c r="F7" i="3"/>
  <c r="J8" i="6" s="1"/>
  <c r="F8" i="5"/>
  <c r="E78" i="5" s="1"/>
  <c r="G147" i="8"/>
  <c r="I147" i="8" s="1"/>
  <c r="H147" i="8" s="1"/>
  <c r="K147" i="8" s="1"/>
  <c r="E73" i="5" l="1"/>
  <c r="E77" i="5"/>
  <c r="G148" i="8"/>
  <c r="I148" i="8" s="1"/>
  <c r="H148" i="8" s="1"/>
  <c r="K148" i="8" s="1"/>
  <c r="J12" i="6"/>
  <c r="F73" i="5"/>
  <c r="G75" i="5"/>
  <c r="E74" i="5"/>
  <c r="E76" i="5"/>
  <c r="E75" i="5"/>
  <c r="E80" i="5" l="1"/>
  <c r="G149" i="8"/>
  <c r="I149" i="8" s="1"/>
  <c r="H149" i="8" s="1"/>
  <c r="K149" i="8" s="1"/>
  <c r="E88" i="5" l="1"/>
  <c r="E81" i="5" a="1"/>
  <c r="E81" i="5" s="1"/>
  <c r="I8" i="5" s="1"/>
  <c r="F88" i="5"/>
  <c r="E83" i="5"/>
  <c r="G150" i="8"/>
  <c r="I150" i="8" s="1"/>
  <c r="H150" i="8" s="1"/>
  <c r="K150" i="8" s="1"/>
  <c r="J11" i="6"/>
  <c r="E87" i="5"/>
  <c r="F85" i="5"/>
  <c r="E85" i="5"/>
  <c r="F84" i="5"/>
  <c r="E84" i="5"/>
  <c r="F87" i="5"/>
  <c r="F83" i="5"/>
  <c r="F86" i="5"/>
  <c r="E86" i="5"/>
  <c r="G151" i="8" l="1"/>
  <c r="I151" i="8" s="1"/>
  <c r="H151" i="8" s="1"/>
  <c r="K151" i="8" s="1"/>
  <c r="J6" i="3"/>
  <c r="J9" i="6"/>
  <c r="J10" i="6" s="1" a="1"/>
  <c r="J10" i="6" s="1"/>
  <c r="G152" i="8" l="1"/>
  <c r="I152" i="8" s="1"/>
  <c r="H152" i="8" s="1"/>
  <c r="K152" i="8" s="1"/>
  <c r="J7" i="3" a="1"/>
  <c r="J7" i="3" s="1"/>
  <c r="G153" i="8" l="1"/>
  <c r="I153" i="8" s="1"/>
  <c r="H153" i="8" s="1"/>
  <c r="K153" i="8" s="1"/>
  <c r="G154" i="8" l="1"/>
  <c r="I154" i="8" s="1"/>
  <c r="H154" i="8" s="1"/>
  <c r="K154" i="8" s="1"/>
  <c r="G155" i="8" l="1"/>
  <c r="I155" i="8" s="1"/>
  <c r="H155" i="8" s="1"/>
  <c r="K155" i="8" s="1"/>
  <c r="G156" i="8" l="1"/>
  <c r="I156" i="8" s="1"/>
  <c r="H156" i="8" s="1"/>
  <c r="K156" i="8" s="1"/>
  <c r="G157" i="8" l="1"/>
  <c r="I157" i="8" s="1"/>
  <c r="H157" i="8" s="1"/>
  <c r="K157" i="8" s="1"/>
  <c r="G158" i="8" l="1"/>
  <c r="I158" i="8" s="1"/>
  <c r="H158" i="8" s="1"/>
  <c r="K158" i="8" s="1"/>
  <c r="G159" i="8" l="1"/>
  <c r="I159" i="8" s="1"/>
  <c r="H159" i="8" s="1"/>
  <c r="K159" i="8" s="1"/>
  <c r="G160" i="8" l="1"/>
  <c r="I160" i="8" s="1"/>
  <c r="H160" i="8" s="1"/>
  <c r="K160" i="8" s="1"/>
  <c r="G161" i="8" l="1"/>
  <c r="I161" i="8" s="1"/>
  <c r="H161" i="8" s="1"/>
  <c r="K161" i="8" s="1"/>
  <c r="G162" i="8" l="1"/>
  <c r="I162" i="8" s="1"/>
  <c r="H162" i="8" s="1"/>
  <c r="K162" i="8" s="1"/>
  <c r="G163" i="8" l="1"/>
  <c r="I163" i="8" s="1"/>
  <c r="H163" i="8" l="1"/>
  <c r="K163" i="8" s="1"/>
  <c r="Q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ANIL SHARMA</author>
  </authors>
  <commentList>
    <comment ref="I15" authorId="0" shapeId="0" xr:uid="{8CB1EF3A-23ED-4EBE-B01B-2F9585425CA8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Accepts the proposal if the income assessment is positive for the customer
and rejects the proposal if there is negative income assessment</t>
        </r>
      </text>
    </comment>
    <comment ref="J15" authorId="0" shapeId="0" xr:uid="{FFE7BEB7-B29E-44F2-A327-A644130C3D99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If negative difference then we accept proposal
</t>
        </r>
      </text>
    </comment>
    <comment ref="K15" authorId="0" shapeId="0" xr:uid="{6AE5A482-1C34-4E48-BF0E-75926820400E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Gives output decision based on the upscale ticket%.
If the assessment is more than the upscale ticket %, it gives out the output to "upscale"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ANIL SHARMA</author>
  </authors>
  <commentList>
    <comment ref="I17" authorId="0" shapeId="0" xr:uid="{DA74E3DD-2270-4154-8B14-9B71ADA80D81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Accepts the proposal if the income assessment is positive for the customer
and rejects the proposal if there is negative income assessment</t>
        </r>
      </text>
    </comment>
    <comment ref="J17" authorId="0" shapeId="0" xr:uid="{A11B0649-D3A9-4611-8736-B54E9B9A145D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If negative difference then we accept proposal
</t>
        </r>
      </text>
    </comment>
    <comment ref="K17" authorId="0" shapeId="0" xr:uid="{4E7D9BEB-81CE-41BC-95BE-35C58EA5655B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Gives output decision based on the upscale ticket%.
If the assessment is more than the upscale ticket %, it gives out the output to "upscale"</t>
        </r>
      </text>
    </comment>
    <comment ref="G53" authorId="0" shapeId="0" xr:uid="{3CA16B3E-24EB-4DB9-A625-D699A2E7700C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ERROR IN SALES OR DEVIATION
</t>
        </r>
      </text>
    </comment>
    <comment ref="I53" authorId="0" shapeId="0" xr:uid="{F1DD6450-5524-4CF4-971F-6F3B97D61EF9}">
      <text>
        <r>
          <rPr>
            <b/>
            <sz val="9"/>
            <color indexed="81"/>
            <rFont val="Tahoma"/>
            <family val="2"/>
          </rPr>
          <t>ANIL SHARMA:</t>
        </r>
        <r>
          <rPr>
            <sz val="9"/>
            <color indexed="81"/>
            <rFont val="Tahoma"/>
            <family val="2"/>
          </rPr>
          <t xml:space="preserve">
REFER TO FORMULA BELOW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<sst xmlns="http://schemas.openxmlformats.org/spreadsheetml/2006/main" count="466" uniqueCount="261">
  <si>
    <t>Income Assessment</t>
  </si>
  <si>
    <t xml:space="preserve"> </t>
  </si>
  <si>
    <t>Sales</t>
  </si>
  <si>
    <t>Margin</t>
  </si>
  <si>
    <t>Expenses</t>
  </si>
  <si>
    <t>Disposable Income</t>
  </si>
  <si>
    <t>Eligible/Allowable</t>
  </si>
  <si>
    <t>Montly Profit</t>
  </si>
  <si>
    <t>Profitability Ratios</t>
  </si>
  <si>
    <t>Values</t>
  </si>
  <si>
    <t>Stock Available</t>
  </si>
  <si>
    <t>Capital Employed</t>
  </si>
  <si>
    <t>Present EMIs</t>
  </si>
  <si>
    <t>Proposed EMI</t>
  </si>
  <si>
    <t>Reject the proposal</t>
  </si>
  <si>
    <t>Accept the proposal</t>
  </si>
  <si>
    <t>WEEKS</t>
  </si>
  <si>
    <t>DIFFERENCE</t>
  </si>
  <si>
    <t>UPSCALE</t>
  </si>
  <si>
    <t>TICKET SIZE</t>
  </si>
  <si>
    <t>(IDEAL RATIO: UPTO 35%)</t>
  </si>
  <si>
    <t>(IDEAL RATIO: UPTO 40%)</t>
  </si>
  <si>
    <t>(IDEAL RATIO: 10-25%)</t>
  </si>
  <si>
    <t>UPSCALE TICKET %</t>
  </si>
  <si>
    <t>AGE</t>
  </si>
  <si>
    <t>CLIENT NAME</t>
  </si>
  <si>
    <t>CLIENT DOB</t>
  </si>
  <si>
    <t>ANIL SHARMA</t>
  </si>
  <si>
    <t>DATE</t>
  </si>
  <si>
    <t>(IDEAL RATIO: +VE TO 20%)</t>
  </si>
  <si>
    <t>CAN WE UPSCALE TICKET SIZE?</t>
  </si>
  <si>
    <t>RATIO ANALYSIS</t>
  </si>
  <si>
    <t>TENURE (WEEKS)</t>
  </si>
  <si>
    <t>TO BE FILLED</t>
  </si>
  <si>
    <t>CREDIT SCORE (EQUIFAX)</t>
  </si>
  <si>
    <t>CREDIT SCORE (BFIL)</t>
  </si>
  <si>
    <t>Return on assets (ROA)</t>
  </si>
  <si>
    <t>Return on Capital Employed (ROCE)</t>
  </si>
  <si>
    <t>Debt to sales ratio (DS RATIO)</t>
  </si>
  <si>
    <t>DECISION</t>
  </si>
  <si>
    <t>Notes :</t>
  </si>
  <si>
    <t>Age score calc</t>
  </si>
  <si>
    <t>Age</t>
  </si>
  <si>
    <t>Score</t>
  </si>
  <si>
    <t>SALES Value</t>
  </si>
  <si>
    <t>TOTAL POINTS</t>
  </si>
  <si>
    <t>CREDIT SCORE ANALYSIS</t>
  </si>
  <si>
    <t>Acceptable Score</t>
  </si>
  <si>
    <t>Below average score</t>
  </si>
  <si>
    <t>LOAN AMOUNT</t>
  </si>
  <si>
    <t>OUTPUT MODULE</t>
  </si>
  <si>
    <t>PD RATIO</t>
  </si>
  <si>
    <t>Probability of Default</t>
  </si>
  <si>
    <t>Years</t>
  </si>
  <si>
    <t>PD rate Default data</t>
  </si>
  <si>
    <t>New Model</t>
  </si>
  <si>
    <t>Slope</t>
  </si>
  <si>
    <t>Intercept</t>
  </si>
  <si>
    <t>Y=AX+B</t>
  </si>
  <si>
    <t>Rating</t>
  </si>
  <si>
    <t>A</t>
  </si>
  <si>
    <t>AA</t>
  </si>
  <si>
    <t>B</t>
  </si>
  <si>
    <t>C</t>
  </si>
  <si>
    <t>D</t>
  </si>
  <si>
    <t>Y</t>
  </si>
  <si>
    <t>X</t>
  </si>
  <si>
    <t>Vintage</t>
  </si>
  <si>
    <t>Vintage of the business</t>
  </si>
  <si>
    <t>Approach/ Assumptions</t>
  </si>
  <si>
    <t>Credit</t>
  </si>
  <si>
    <t>Character</t>
  </si>
  <si>
    <t>Cashflows</t>
  </si>
  <si>
    <t xml:space="preserve">Credibility </t>
  </si>
  <si>
    <t>Capacity</t>
  </si>
  <si>
    <t>Control</t>
  </si>
  <si>
    <t>Liquidity</t>
  </si>
  <si>
    <t>Condition</t>
  </si>
  <si>
    <t>Collateral</t>
  </si>
  <si>
    <t>Current loan amt</t>
  </si>
  <si>
    <t>Credit History</t>
  </si>
  <si>
    <t>Avg cashflows in the bank</t>
  </si>
  <si>
    <t>Stock levels: min, max, avg</t>
  </si>
  <si>
    <t>On their territory</t>
  </si>
  <si>
    <t>Disposable income and proposed EMIs</t>
  </si>
  <si>
    <t>Current size of EMIs and margins</t>
  </si>
  <si>
    <t>Assets (fixed) they have/ pocess</t>
  </si>
  <si>
    <t>Criterion/Measurement/ KPIs</t>
  </si>
  <si>
    <t>New Model For PD %</t>
  </si>
  <si>
    <t>Criterion</t>
  </si>
  <si>
    <t>Open Loan Accounts</t>
  </si>
  <si>
    <t>Profitability Scores</t>
  </si>
  <si>
    <t>Total Score</t>
  </si>
  <si>
    <t>UPSCALE UNDEFINED</t>
  </si>
  <si>
    <t>UPSCALE TICKET % FACTOR</t>
  </si>
  <si>
    <t>Upscale Needed?</t>
  </si>
  <si>
    <t>Age of Client</t>
  </si>
  <si>
    <t>Stock</t>
  </si>
  <si>
    <t>Stock Level</t>
  </si>
  <si>
    <t>Vintage Of Property</t>
  </si>
  <si>
    <t>CREDIT STRENGTH</t>
  </si>
  <si>
    <t>&lt;50000</t>
  </si>
  <si>
    <t>NO OF OPEN LOAN ACCOUNTS</t>
  </si>
  <si>
    <t>Present EWIs</t>
  </si>
  <si>
    <t>Proposed EWI</t>
  </si>
  <si>
    <t>Basic Scoring based on client</t>
  </si>
  <si>
    <t>out of</t>
  </si>
  <si>
    <t>PREVIOUS MONTH</t>
  </si>
  <si>
    <t>CURRENT MONTH</t>
  </si>
  <si>
    <t>Forecast of next month</t>
  </si>
  <si>
    <t>Alpha</t>
  </si>
  <si>
    <t>Error</t>
  </si>
  <si>
    <t>x*At+{(1-x)*st}</t>
  </si>
  <si>
    <t>Excellent</t>
  </si>
  <si>
    <t>Good</t>
  </si>
  <si>
    <t>Better</t>
  </si>
  <si>
    <t>Bad</t>
  </si>
  <si>
    <t>Avoid</t>
  </si>
  <si>
    <t>BAND ALOTTED</t>
  </si>
  <si>
    <t>Average Score</t>
  </si>
  <si>
    <t>VINTAGE OF BUSINESS</t>
  </si>
  <si>
    <t>SALES</t>
  </si>
  <si>
    <t>MARGIN</t>
  </si>
  <si>
    <t>EQUIFAX SCORE</t>
  </si>
  <si>
    <t>EXPENSES</t>
  </si>
  <si>
    <t>CURRENT EMI</t>
  </si>
  <si>
    <t>UPSCALE FACTOR</t>
  </si>
  <si>
    <t>STOCK AMOUNT</t>
  </si>
  <si>
    <t>OPTIONAL</t>
  </si>
  <si>
    <t>CAPITAL EMPLOYED</t>
  </si>
  <si>
    <t>DETAILED CREDIT ANALYSIS</t>
  </si>
  <si>
    <t>NO</t>
  </si>
  <si>
    <t>AA, A</t>
  </si>
  <si>
    <t>C,D</t>
  </si>
  <si>
    <t>Rating Criteria</t>
  </si>
  <si>
    <t>Open LOAN ACCOUNTS</t>
  </si>
  <si>
    <t>ACCOUNTS</t>
  </si>
  <si>
    <t>FUTURE SALES FORECAST</t>
  </si>
  <si>
    <t>% of income used</t>
  </si>
  <si>
    <t>present emis</t>
  </si>
  <si>
    <t>% of Income used by present emis</t>
  </si>
  <si>
    <t>Monthly profit</t>
  </si>
  <si>
    <t>%</t>
  </si>
  <si>
    <t>&gt;300000</t>
  </si>
  <si>
    <t>%of present EMIs</t>
  </si>
  <si>
    <t>Accept proposal</t>
  </si>
  <si>
    <t>Reject Proposal</t>
  </si>
  <si>
    <t>No of Accepted</t>
  </si>
  <si>
    <t>% acceptance of Inc Assessment</t>
  </si>
  <si>
    <t>Total Acceptance</t>
  </si>
  <si>
    <t>Assessment passed %</t>
  </si>
  <si>
    <t>Poor Performance</t>
  </si>
  <si>
    <t>Passed</t>
  </si>
  <si>
    <t>Failed</t>
  </si>
  <si>
    <t>&lt;50%</t>
  </si>
  <si>
    <t>KPIs of Credit model</t>
  </si>
  <si>
    <t>No. Of Rejected</t>
  </si>
  <si>
    <t>z</t>
  </si>
  <si>
    <t xml:space="preserve">   </t>
  </si>
  <si>
    <t>Variables</t>
  </si>
  <si>
    <t>Debt to sales ratio</t>
  </si>
  <si>
    <t>debt to income ratio</t>
  </si>
  <si>
    <t>(HEALTHY RATIO: UPTO 25%)</t>
  </si>
  <si>
    <t>Customer Trust</t>
  </si>
  <si>
    <t>Previous loans</t>
  </si>
  <si>
    <t>Customer trust</t>
  </si>
  <si>
    <t>Variables Taken For Scoring model</t>
  </si>
  <si>
    <t>Assessment Scores</t>
  </si>
  <si>
    <t>Total rejection</t>
  </si>
  <si>
    <t>Allowable ticket Size:</t>
  </si>
  <si>
    <t>EQUIFAX CREDIT SCORE</t>
  </si>
  <si>
    <t>Similar Businessess in their radius</t>
  </si>
  <si>
    <t>No of businessess</t>
  </si>
  <si>
    <t>Shop Ownership</t>
  </si>
  <si>
    <t>House Ownership</t>
  </si>
  <si>
    <t>&lt;=5000</t>
  </si>
  <si>
    <t>Own</t>
  </si>
  <si>
    <t>Other Assets</t>
  </si>
  <si>
    <t>Number</t>
  </si>
  <si>
    <t>Days In Arrears</t>
  </si>
  <si>
    <t>&lt;30</t>
  </si>
  <si>
    <t>90+</t>
  </si>
  <si>
    <t>180+</t>
  </si>
  <si>
    <t>TYPE OF ARREAR (Highest)</t>
  </si>
  <si>
    <t>&gt;60+</t>
  </si>
  <si>
    <t>&gt;30+</t>
  </si>
  <si>
    <t>PASSED</t>
  </si>
  <si>
    <t>FAILED</t>
  </si>
  <si>
    <t>CONSOLIDATED OUTPUT</t>
  </si>
  <si>
    <t>Retained earnings to Assets Ratio</t>
  </si>
  <si>
    <t>Out Of</t>
  </si>
  <si>
    <t>BAND ALLOTTED</t>
  </si>
  <si>
    <t>EXCELLENT</t>
  </si>
  <si>
    <t>GOOD</t>
  </si>
  <si>
    <t>AVERAGE</t>
  </si>
  <si>
    <t>AAA</t>
  </si>
  <si>
    <t>BAND CRITERIA</t>
  </si>
  <si>
    <t>BAND ATTRIBUTE</t>
  </si>
  <si>
    <t>RISK SCALE</t>
  </si>
  <si>
    <t>Band</t>
  </si>
  <si>
    <t>LOAN TENURE</t>
  </si>
  <si>
    <t>A+</t>
  </si>
  <si>
    <t>AVOID</t>
  </si>
  <si>
    <t>BELOW AVERAGE</t>
  </si>
  <si>
    <t>AVERAGE RISK</t>
  </si>
  <si>
    <t>AAA, AA</t>
  </si>
  <si>
    <t>Average score</t>
  </si>
  <si>
    <t>B, C</t>
  </si>
  <si>
    <t>KEY RATIO ANALYSIS</t>
  </si>
  <si>
    <t>Client Age</t>
  </si>
  <si>
    <t>References</t>
  </si>
  <si>
    <t>(IDEAL RATIO: UPTO 30%)</t>
  </si>
  <si>
    <t>DETAILED CREDIT REPORT</t>
  </si>
  <si>
    <t>RATING ANALYSIS</t>
  </si>
  <si>
    <t>Button 20</t>
  </si>
  <si>
    <t>LOAN</t>
  </si>
  <si>
    <t>PERIOD</t>
  </si>
  <si>
    <t>INT</t>
  </si>
  <si>
    <t>EMI</t>
  </si>
  <si>
    <t>MONTH</t>
  </si>
  <si>
    <t>LOAN O/B</t>
  </si>
  <si>
    <t>PRIN-REPAY</t>
  </si>
  <si>
    <t>INTREST</t>
  </si>
  <si>
    <t>EMI(ANNUITY)</t>
  </si>
  <si>
    <t>LOAN C/B</t>
  </si>
  <si>
    <t>INT PWEEK</t>
  </si>
  <si>
    <t>PAYMENT SCHEDULE</t>
  </si>
  <si>
    <t>TOTAL INTREST PAID</t>
  </si>
  <si>
    <t>NO OF WEEKS</t>
  </si>
  <si>
    <t>LOAN AMMORTISATION</t>
  </si>
  <si>
    <t>% OF INCOME ASSESSMENT</t>
  </si>
  <si>
    <t>`</t>
  </si>
  <si>
    <t>FINAL DECISION</t>
  </si>
  <si>
    <t>(5=EXTREMELY RISKY)</t>
  </si>
  <si>
    <t>;[</t>
  </si>
  <si>
    <t>This is just a prototype model, updates yet to be done to humanize this model</t>
  </si>
  <si>
    <t>OWN</t>
  </si>
  <si>
    <t>RENT</t>
  </si>
  <si>
    <t>SIMILAR BUSINESSESS AROUND</t>
  </si>
  <si>
    <t>(Represents market dominance)</t>
  </si>
  <si>
    <t>Select your Choice</t>
  </si>
  <si>
    <t>SHOP OWNERSHIP</t>
  </si>
  <si>
    <t>HOUSE OWNERSHIP</t>
  </si>
  <si>
    <t>OTHER ASSETS VALUE</t>
  </si>
  <si>
    <t>TIMES OF ARREAR</t>
  </si>
  <si>
    <t>ANY OTHER ASSETS (No.)</t>
  </si>
  <si>
    <t>90% and more</t>
  </si>
  <si>
    <t>ASSESSMENT RESULT</t>
  </si>
  <si>
    <t>85% to 90%</t>
  </si>
  <si>
    <t>75% to 85%</t>
  </si>
  <si>
    <t>65% to 75%</t>
  </si>
  <si>
    <t>60% or Below</t>
  </si>
  <si>
    <t>No Arrears</t>
  </si>
  <si>
    <t>Anil Sharma</t>
  </si>
  <si>
    <t>CREDIT SCORE</t>
  </si>
  <si>
    <t>CREDIT S CORECARD</t>
  </si>
  <si>
    <t>CREDIT CALCULATION</t>
  </si>
  <si>
    <t>PREVIOUS LOANS?</t>
  </si>
  <si>
    <t>F</t>
  </si>
  <si>
    <t>PREVIOUS LOANS</t>
  </si>
  <si>
    <t>More Than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</si>
</sst>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(* #,##0.00_);_(* \(#,##0.00\);_(* &quot;-&quot;??_);_(@_)"/>
    <numFmt numFmtId="167" formatCode="_ [$₹-439]* #,##0.00_ ;_ [$₹-439]* \-#,##0.00_ ;_ [$₹-439]* &quot;-&quot;??_ ;_ @_ "/>
    <numFmt numFmtId="168" formatCode="[$₹-445]\ #,##0.00"/>
    <numFmt numFmtId="169" formatCode="0.0"/>
    <numFmt numFmtId="170" formatCode="_ [$₹-4009]\ * #,##0.00_ ;_ [$₹-4009]\ * \-#,##0.00_ ;_ [$₹-4009]\ * &quot;-&quot;??_ ;_ @_ "/>
    <numFmt numFmtId="171" formatCode="0.0%"/>
    <numFmt numFmtId="172" formatCode="0.0000"/>
    <numFmt numFmtId="173" formatCode="0.000%"/>
    <numFmt numFmtId="174" formatCode="_ [$₹-439]* #,##0_ ;_ [$₹-439]* \-#,##0_ ;_ [$₹-439]* &quot;-&quot;??_ ;_ @_ 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9.9978637043366805E-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9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i/>
      <sz val="8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9" tint="-0.499984740745262"/>
      <name val="Calibri"/>
      <family val="2"/>
      <scheme val="minor"/>
    </font>
    <font>
      <b/>
      <i/>
      <sz val="10"/>
      <color theme="8" tint="-0.499984740745262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E2F0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29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4" borderId="1" xfId="0" applyFill="1" applyBorder="1" applyAlignment="1">
      <alignment horizontal="center"/>
    </xf>
    <xf numFmtId="9" fontId="0" fillId="0" borderId="1" xfId="2" applyFont="1" applyBorder="1"/>
    <xf numFmtId="9" fontId="0" fillId="0" borderId="0" xfId="2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right"/>
    </xf>
    <xf numFmtId="0" fontId="0" fillId="5" borderId="1" xfId="0" applyFill="1" applyBorder="1"/>
    <xf numFmtId="0" fontId="4" fillId="0" borderId="0" xfId="0" applyFont="1"/>
    <xf numFmtId="0" fontId="4" fillId="0" borderId="1" xfId="0" applyFont="1" applyBorder="1" applyAlignment="1">
      <alignment horizontal="center"/>
    </xf>
    <xf numFmtId="9" fontId="0" fillId="0" borderId="1" xfId="0" applyNumberFormat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9" fontId="2" fillId="0" borderId="1" xfId="2" applyFont="1" applyBorder="1"/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8" fontId="0" fillId="0" borderId="1" xfId="1" applyNumberFormat="1" applyFont="1" applyBorder="1" applyAlignment="1">
      <alignment horizontal="center"/>
    </xf>
    <xf numFmtId="14" fontId="2" fillId="0" borderId="1" xfId="0" applyNumberFormat="1" applyFont="1" applyBorder="1"/>
    <xf numFmtId="9" fontId="8" fillId="0" borderId="0" xfId="2" applyFont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15" xfId="0" applyBorder="1"/>
    <xf numFmtId="0" fontId="0" fillId="0" borderId="7" xfId="0" applyBorder="1"/>
    <xf numFmtId="0" fontId="0" fillId="0" borderId="13" xfId="0" applyBorder="1"/>
    <xf numFmtId="0" fontId="2" fillId="0" borderId="4" xfId="0" applyFont="1" applyBorder="1"/>
    <xf numFmtId="167" fontId="11" fillId="0" borderId="1" xfId="0" applyNumberFormat="1" applyFont="1" applyBorder="1"/>
    <xf numFmtId="0" fontId="8" fillId="0" borderId="1" xfId="0" applyFont="1" applyBorder="1"/>
    <xf numFmtId="0" fontId="8" fillId="5" borderId="1" xfId="0" applyFont="1" applyFill="1" applyBorder="1"/>
    <xf numFmtId="9" fontId="8" fillId="5" borderId="1" xfId="2" applyFont="1" applyFill="1" applyBorder="1"/>
    <xf numFmtId="0" fontId="12" fillId="0" borderId="1" xfId="0" applyFont="1" applyBorder="1"/>
    <xf numFmtId="0" fontId="12" fillId="5" borderId="1" xfId="0" applyFont="1" applyFill="1" applyBorder="1"/>
    <xf numFmtId="0" fontId="2" fillId="0" borderId="10" xfId="0" applyFont="1" applyBorder="1" applyAlignment="1">
      <alignment horizontal="center"/>
    </xf>
    <xf numFmtId="0" fontId="2" fillId="5" borderId="1" xfId="0" applyFont="1" applyFill="1" applyBorder="1"/>
    <xf numFmtId="0" fontId="1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2" fontId="2" fillId="0" borderId="1" xfId="0" applyNumberFormat="1" applyFont="1" applyBorder="1"/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70" fontId="2" fillId="4" borderId="1" xfId="0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43" fontId="2" fillId="0" borderId="1" xfId="1" applyFont="1" applyBorder="1"/>
    <xf numFmtId="10" fontId="0" fillId="0" borderId="1" xfId="2" applyNumberFormat="1" applyFont="1" applyBorder="1"/>
    <xf numFmtId="0" fontId="2" fillId="0" borderId="5" xfId="0" applyFont="1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10" borderId="0" xfId="0" applyFont="1" applyFill="1"/>
    <xf numFmtId="0" fontId="2" fillId="0" borderId="11" xfId="0" applyFont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0" xfId="0" applyFont="1" applyAlignment="1">
      <alignment horizontal="left"/>
    </xf>
    <xf numFmtId="0" fontId="5" fillId="0" borderId="1" xfId="0" applyFont="1" applyBorder="1"/>
    <xf numFmtId="0" fontId="17" fillId="11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5" fontId="2" fillId="5" borderId="1" xfId="0" applyNumberFormat="1" applyFont="1" applyFill="1" applyBorder="1"/>
    <xf numFmtId="9" fontId="5" fillId="5" borderId="1" xfId="2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12" fillId="8" borderId="17" xfId="0" applyFont="1" applyFill="1" applyBorder="1" applyAlignment="1">
      <alignment horizontal="center"/>
    </xf>
    <xf numFmtId="0" fontId="12" fillId="8" borderId="19" xfId="0" applyFont="1" applyFill="1" applyBorder="1" applyAlignment="1">
      <alignment horizontal="center"/>
    </xf>
    <xf numFmtId="0" fontId="16" fillId="8" borderId="12" xfId="0" applyFont="1" applyFill="1" applyBorder="1" applyAlignment="1">
      <alignment horizontal="center"/>
    </xf>
    <xf numFmtId="9" fontId="0" fillId="0" borderId="0" xfId="0" applyNumberFormat="1"/>
    <xf numFmtId="9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9" fontId="4" fillId="4" borderId="1" xfId="0" applyNumberFormat="1" applyFont="1" applyFill="1" applyBorder="1" applyAlignment="1">
      <alignment horizontal="center"/>
    </xf>
    <xf numFmtId="0" fontId="0" fillId="0" borderId="24" xfId="0" applyBorder="1"/>
    <xf numFmtId="9" fontId="2" fillId="0" borderId="1" xfId="2" applyFont="1" applyBorder="1" applyAlignment="1">
      <alignment horizontal="center"/>
    </xf>
    <xf numFmtId="0" fontId="0" fillId="0" borderId="0" xfId="0" applyAlignment="1">
      <alignment horizontal="left" indent="14"/>
    </xf>
    <xf numFmtId="0" fontId="0" fillId="0" borderId="9" xfId="0" applyBorder="1" applyAlignment="1">
      <alignment horizontal="left" indent="2"/>
    </xf>
    <xf numFmtId="0" fontId="2" fillId="0" borderId="6" xfId="0" applyFont="1" applyBorder="1" applyAlignment="1">
      <alignment horizontal="center"/>
    </xf>
    <xf numFmtId="0" fontId="2" fillId="5" borderId="1" xfId="0" applyFont="1" applyFill="1" applyBorder="1" applyAlignment="1">
      <alignment vertical="center"/>
    </xf>
    <xf numFmtId="9" fontId="2" fillId="0" borderId="0" xfId="2" applyFont="1"/>
    <xf numFmtId="167" fontId="0" fillId="0" borderId="1" xfId="0" applyNumberFormat="1" applyBorder="1"/>
    <xf numFmtId="167" fontId="18" fillId="0" borderId="1" xfId="0" applyNumberFormat="1" applyFont="1" applyBorder="1"/>
    <xf numFmtId="0" fontId="5" fillId="0" borderId="5" xfId="0" applyFont="1" applyBorder="1"/>
    <xf numFmtId="1" fontId="0" fillId="0" borderId="1" xfId="0" applyNumberFormat="1" applyBorder="1" applyAlignment="1">
      <alignment horizontal="center"/>
    </xf>
    <xf numFmtId="0" fontId="5" fillId="4" borderId="1" xfId="0" applyFont="1" applyFill="1" applyBorder="1"/>
    <xf numFmtId="0" fontId="4" fillId="4" borderId="0" xfId="0" applyFont="1" applyFill="1"/>
    <xf numFmtId="0" fontId="2" fillId="4" borderId="3" xfId="0" applyFont="1" applyFill="1" applyBorder="1"/>
    <xf numFmtId="0" fontId="0" fillId="4" borderId="7" xfId="0" applyFill="1" applyBorder="1"/>
    <xf numFmtId="0" fontId="0" fillId="4" borderId="13" xfId="0" applyFill="1" applyBorder="1"/>
    <xf numFmtId="0" fontId="0" fillId="4" borderId="0" xfId="0" applyFill="1"/>
    <xf numFmtId="0" fontId="4" fillId="4" borderId="8" xfId="0" applyFont="1" applyFill="1" applyBorder="1"/>
    <xf numFmtId="0" fontId="12" fillId="4" borderId="9" xfId="0" applyFont="1" applyFill="1" applyBorder="1"/>
    <xf numFmtId="0" fontId="0" fillId="4" borderId="8" xfId="0" applyFill="1" applyBorder="1"/>
    <xf numFmtId="0" fontId="2" fillId="4" borderId="2" xfId="0" applyFont="1" applyFill="1" applyBorder="1"/>
    <xf numFmtId="0" fontId="2" fillId="4" borderId="4" xfId="0" applyFont="1" applyFill="1" applyBorder="1"/>
    <xf numFmtId="0" fontId="5" fillId="4" borderId="10" xfId="0" applyFont="1" applyFill="1" applyBorder="1"/>
    <xf numFmtId="0" fontId="5" fillId="14" borderId="1" xfId="0" applyFont="1" applyFill="1" applyBorder="1"/>
    <xf numFmtId="0" fontId="2" fillId="14" borderId="2" xfId="0" applyFont="1" applyFill="1" applyBorder="1"/>
    <xf numFmtId="0" fontId="2" fillId="14" borderId="3" xfId="0" applyFont="1" applyFill="1" applyBorder="1"/>
    <xf numFmtId="0" fontId="2" fillId="14" borderId="4" xfId="0" applyFont="1" applyFill="1" applyBorder="1"/>
    <xf numFmtId="0" fontId="19" fillId="0" borderId="5" xfId="0" applyFont="1" applyBorder="1"/>
    <xf numFmtId="0" fontId="4" fillId="0" borderId="1" xfId="0" applyFont="1" applyBorder="1" applyAlignment="1">
      <alignment horizontal="right"/>
    </xf>
    <xf numFmtId="1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4" fillId="14" borderId="8" xfId="0" applyFont="1" applyFill="1" applyBorder="1" applyAlignment="1">
      <alignment horizontal="left" vertical="center"/>
    </xf>
    <xf numFmtId="0" fontId="4" fillId="14" borderId="0" xfId="0" applyFont="1" applyFill="1" applyAlignment="1">
      <alignment horizontal="right" vertical="center"/>
    </xf>
    <xf numFmtId="0" fontId="0" fillId="14" borderId="9" xfId="0" applyFill="1" applyBorder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9" fontId="2" fillId="0" borderId="0" xfId="0" applyNumberFormat="1" applyFont="1"/>
    <xf numFmtId="0" fontId="0" fillId="0" borderId="1" xfId="0" applyBorder="1" applyAlignment="1">
      <alignment horizontal="left"/>
    </xf>
    <xf numFmtId="0" fontId="0" fillId="17" borderId="2" xfId="0" applyFill="1" applyBorder="1"/>
    <xf numFmtId="0" fontId="0" fillId="17" borderId="3" xfId="0" applyFill="1" applyBorder="1"/>
    <xf numFmtId="0" fontId="2" fillId="17" borderId="4" xfId="0" applyFont="1" applyFill="1" applyBorder="1" applyAlignment="1">
      <alignment horizontal="center"/>
    </xf>
    <xf numFmtId="0" fontId="25" fillId="8" borderId="1" xfId="0" applyFont="1" applyFill="1" applyBorder="1" applyAlignment="1">
      <alignment vertical="center"/>
    </xf>
    <xf numFmtId="2" fontId="25" fillId="8" borderId="1" xfId="0" applyNumberFormat="1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9" fontId="5" fillId="0" borderId="1" xfId="2" applyFont="1" applyBorder="1" applyAlignment="1">
      <alignment horizontal="center" vertical="center"/>
    </xf>
    <xf numFmtId="9" fontId="16" fillId="0" borderId="1" xfId="0" applyNumberFormat="1" applyFont="1" applyBorder="1" applyAlignment="1">
      <alignment horizontal="center" vertical="center"/>
    </xf>
    <xf numFmtId="0" fontId="16" fillId="15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7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5" xfId="0" applyBorder="1" applyAlignment="1">
      <alignment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4" fontId="2" fillId="0" borderId="1" xfId="0" applyNumberFormat="1" applyFont="1" applyBorder="1" applyAlignment="1">
      <alignment vertical="center"/>
    </xf>
    <xf numFmtId="0" fontId="24" fillId="0" borderId="1" xfId="0" applyFont="1" applyBorder="1" applyAlignment="1">
      <alignment horizontal="center" vertical="center"/>
    </xf>
    <xf numFmtId="170" fontId="2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15" fontId="2" fillId="0" borderId="1" xfId="0" applyNumberFormat="1" applyFont="1" applyBorder="1" applyAlignment="1">
      <alignment vertical="center"/>
    </xf>
    <xf numFmtId="1" fontId="2" fillId="0" borderId="1" xfId="0" applyNumberFormat="1" applyFont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9" fontId="23" fillId="0" borderId="0" xfId="2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9" fontId="29" fillId="0" borderId="0" xfId="2" applyFont="1" applyFill="1" applyBorder="1" applyAlignment="1">
      <alignment horizontal="left" vertical="center"/>
    </xf>
    <xf numFmtId="9" fontId="8" fillId="0" borderId="1" xfId="2" applyFont="1" applyFill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9" fontId="5" fillId="0" borderId="1" xfId="2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68" fontId="8" fillId="0" borderId="16" xfId="1" applyNumberFormat="1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68" fontId="8" fillId="0" borderId="6" xfId="1" applyNumberFormat="1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15" fontId="5" fillId="0" borderId="1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70" fontId="0" fillId="0" borderId="0" xfId="0" applyNumberFormat="1"/>
    <xf numFmtId="172" fontId="0" fillId="0" borderId="0" xfId="0" applyNumberFormat="1"/>
    <xf numFmtId="0" fontId="22" fillId="14" borderId="1" xfId="0" applyFont="1" applyFill="1" applyBorder="1" applyAlignment="1">
      <alignment horizontal="center"/>
    </xf>
    <xf numFmtId="167" fontId="4" fillId="0" borderId="1" xfId="0" applyNumberFormat="1" applyFont="1" applyBorder="1"/>
    <xf numFmtId="170" fontId="4" fillId="0" borderId="1" xfId="0" applyNumberFormat="1" applyFont="1" applyBorder="1"/>
    <xf numFmtId="170" fontId="5" fillId="2" borderId="1" xfId="0" applyNumberFormat="1" applyFont="1" applyFill="1" applyBorder="1"/>
    <xf numFmtId="171" fontId="0" fillId="0" borderId="0" xfId="2" applyNumberFormat="1" applyFont="1"/>
    <xf numFmtId="173" fontId="0" fillId="0" borderId="0" xfId="2" applyNumberFormat="1" applyFont="1"/>
    <xf numFmtId="0" fontId="5" fillId="2" borderId="1" xfId="0" applyFont="1" applyFill="1" applyBorder="1" applyAlignment="1">
      <alignment horizontal="center"/>
    </xf>
    <xf numFmtId="0" fontId="0" fillId="0" borderId="0" xfId="2" applyNumberFormat="1" applyFont="1"/>
    <xf numFmtId="0" fontId="5" fillId="14" borderId="1" xfId="0" applyFont="1" applyFill="1" applyBorder="1" applyAlignment="1">
      <alignment horizontal="center"/>
    </xf>
    <xf numFmtId="170" fontId="5" fillId="14" borderId="1" xfId="0" applyNumberFormat="1" applyFont="1" applyFill="1" applyBorder="1"/>
    <xf numFmtId="170" fontId="34" fillId="4" borderId="1" xfId="0" applyNumberFormat="1" applyFont="1" applyFill="1" applyBorder="1"/>
    <xf numFmtId="0" fontId="35" fillId="14" borderId="1" xfId="0" applyFont="1" applyFill="1" applyBorder="1" applyAlignment="1">
      <alignment horizontal="center" vertical="center"/>
    </xf>
    <xf numFmtId="173" fontId="35" fillId="14" borderId="1" xfId="0" applyNumberFormat="1" applyFont="1" applyFill="1" applyBorder="1" applyAlignment="1">
      <alignment horizontal="center" vertical="center"/>
    </xf>
    <xf numFmtId="170" fontId="35" fillId="14" borderId="1" xfId="0" applyNumberFormat="1" applyFont="1" applyFill="1" applyBorder="1" applyAlignment="1">
      <alignment horizontal="center" vertical="center"/>
    </xf>
    <xf numFmtId="174" fontId="35" fillId="14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/>
    <xf numFmtId="169" fontId="2" fillId="12" borderId="1" xfId="0" applyNumberFormat="1" applyFont="1" applyFill="1" applyBorder="1"/>
    <xf numFmtId="0" fontId="5" fillId="12" borderId="1" xfId="0" applyFont="1" applyFill="1" applyBorder="1" applyAlignment="1">
      <alignment horizontal="center" vertical="center"/>
    </xf>
    <xf numFmtId="2" fontId="4" fillId="0" borderId="9" xfId="0" applyNumberFormat="1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5" fillId="0" borderId="5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36" fillId="5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9" fontId="16" fillId="0" borderId="25" xfId="0" applyNumberFormat="1" applyFont="1" applyBorder="1" applyAlignment="1">
      <alignment horizontal="center" vertical="center"/>
    </xf>
    <xf numFmtId="0" fontId="27" fillId="16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0" fontId="35" fillId="14" borderId="1" xfId="2" applyNumberFormat="1" applyFont="1" applyFill="1" applyBorder="1" applyAlignment="1">
      <alignment horizontal="center" vertical="center"/>
    </xf>
    <xf numFmtId="14" fontId="8" fillId="0" borderId="9" xfId="0" applyNumberFormat="1" applyFont="1" applyBorder="1" applyAlignment="1">
      <alignment vertical="center"/>
    </xf>
    <xf numFmtId="0" fontId="2" fillId="1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0" xfId="0" applyFont="1" applyFill="1" applyBorder="1" applyAlignment="1">
      <alignment horizontal="center" vertical="center"/>
    </xf>
    <xf numFmtId="0" fontId="4" fillId="3" borderId="2" xfId="3" applyFont="1" applyFill="1" applyBorder="1" applyAlignment="1">
      <alignment horizontal="center" vertical="center"/>
    </xf>
    <xf numFmtId="0" fontId="4" fillId="3" borderId="4" xfId="3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0" fillId="7" borderId="7" xfId="0" applyFont="1" applyFill="1" applyBorder="1" applyAlignment="1">
      <alignment horizontal="center" vertical="center"/>
    </xf>
    <xf numFmtId="0" fontId="20" fillId="7" borderId="1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6" fillId="10" borderId="2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10" borderId="4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7" borderId="11" xfId="0" applyFont="1" applyFill="1" applyBorder="1" applyAlignment="1">
      <alignment horizontal="right" vertical="center" textRotation="90"/>
    </xf>
    <xf numFmtId="0" fontId="7" fillId="7" borderId="16" xfId="0" applyFont="1" applyFill="1" applyBorder="1" applyAlignment="1">
      <alignment horizontal="right" vertical="center" textRotation="90"/>
    </xf>
    <xf numFmtId="0" fontId="7" fillId="7" borderId="9" xfId="0" applyFont="1" applyFill="1" applyBorder="1" applyAlignment="1">
      <alignment horizontal="right" vertical="center" textRotation="90"/>
    </xf>
    <xf numFmtId="0" fontId="7" fillId="7" borderId="6" xfId="0" applyFont="1" applyFill="1" applyBorder="1" applyAlignment="1">
      <alignment horizontal="right" vertical="center" textRotation="90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28" fillId="8" borderId="2" xfId="0" applyFont="1" applyFill="1" applyBorder="1" applyAlignment="1">
      <alignment horizontal="center" vertical="center"/>
    </xf>
    <xf numFmtId="0" fontId="28" fillId="8" borderId="3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9" borderId="1" xfId="3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/>
    </xf>
    <xf numFmtId="0" fontId="12" fillId="8" borderId="20" xfId="0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/>
    </xf>
    <xf numFmtId="0" fontId="5" fillId="14" borderId="3" xfId="0" applyFont="1" applyFill="1" applyBorder="1" applyAlignment="1">
      <alignment horizontal="center"/>
    </xf>
    <xf numFmtId="0" fontId="5" fillId="14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7" borderId="1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horizontal="center" vertical="center" wrapText="1"/>
    </xf>
    <xf numFmtId="0" fontId="16" fillId="8" borderId="2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/>
    </xf>
    <xf numFmtId="0" fontId="19" fillId="19" borderId="31" xfId="4" applyFill="1" applyBorder="1" applyAlignment="1">
      <alignment horizontal="center"/>
    </xf>
    <xf numFmtId="0" fontId="0" fillId="0" borderId="16" xfId="0" applyFill="1" applyBorder="1"/>
    <xf numFmtId="1" fontId="5" fillId="0" borderId="6" xfId="0" applyNumberFormat="1" applyFont="1" applyBorder="1" applyAlignment="1">
      <alignment horizontal="center" vertical="center"/>
    </xf>
  </cellXfs>
  <cellStyles count="5">
    <cellStyle name="Comma" xfId="1" builtinId="3"/>
    <cellStyle name="Explanatory Text" xfId="3" builtinId="53"/>
    <cellStyle name="Normal" xfId="0" builtinId="0"/>
    <cellStyle name="Percent" xfId="2" builtinId="5"/>
    <cellStyle name="Warning Text" xfId="4" builtinId="11"/>
  </cellStyles>
  <dxfs count="2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b val="0"/>
        <i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2" tint="-9.9948118533890809E-2"/>
      </font>
    </dxf>
    <dxf>
      <font>
        <b/>
        <i/>
      </font>
      <fill>
        <patternFill>
          <bgColor theme="0" tint="-4.9989318521683403E-2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A67B9B84-4AC5-45C6-8CA7-4E559FC6DEEA}"/>
  </tableStyles>
  <colors>
    <mruColors>
      <color rgb="FFBE2F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(Backend!$P$7:$P$10,Backend!$P$17:$P$20)</c:f>
              <c:strCache>
                <c:ptCount val="8"/>
                <c:pt idx="0">
                  <c:v>Age of Client</c:v>
                </c:pt>
                <c:pt idx="1">
                  <c:v>Vintage</c:v>
                </c:pt>
                <c:pt idx="2">
                  <c:v>Open Loan Accounts</c:v>
                </c:pt>
                <c:pt idx="3">
                  <c:v>Customer trust</c:v>
                </c:pt>
                <c:pt idx="4">
                  <c:v>Sales</c:v>
                </c:pt>
                <c:pt idx="5">
                  <c:v>Stock Available</c:v>
                </c:pt>
                <c:pt idx="6">
                  <c:v>%of present EMIs</c:v>
                </c:pt>
                <c:pt idx="7">
                  <c:v>% of Income used by present emis</c:v>
                </c:pt>
              </c:strCache>
            </c:strRef>
          </c:cat>
          <c:val>
            <c:numRef>
              <c:f>(Backend!$Q$7:$Q$10,Backend!$Q$17:$Q$20)</c:f>
              <c:numCache>
                <c:formatCode>General</c:formatCode>
                <c:ptCount val="8"/>
                <c:pt idx="0">
                  <c:v>10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B-447F-B266-6955B287D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3979088"/>
        <c:axId val="1073957936"/>
      </c:barChart>
      <c:catAx>
        <c:axId val="1183979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57936"/>
        <c:crosses val="autoZero"/>
        <c:auto val="1"/>
        <c:lblAlgn val="ctr"/>
        <c:lblOffset val="100"/>
        <c:noMultiLvlLbl val="0"/>
      </c:catAx>
      <c:valAx>
        <c:axId val="107395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97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503989967401675"/>
          <c:y val="0.17852797579643864"/>
          <c:w val="0.34689632561086436"/>
          <c:h val="0.64859783793746184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(Backend!$P$7:$P$10,Backend!$P$17:$P$20)</c:f>
              <c:strCache>
                <c:ptCount val="8"/>
                <c:pt idx="0">
                  <c:v>Age of Client</c:v>
                </c:pt>
                <c:pt idx="1">
                  <c:v>Vintage</c:v>
                </c:pt>
                <c:pt idx="2">
                  <c:v>Open Loan Accounts</c:v>
                </c:pt>
                <c:pt idx="3">
                  <c:v>Customer trust</c:v>
                </c:pt>
                <c:pt idx="4">
                  <c:v>Sales</c:v>
                </c:pt>
                <c:pt idx="5">
                  <c:v>Stock Available</c:v>
                </c:pt>
                <c:pt idx="6">
                  <c:v>%of present EMIs</c:v>
                </c:pt>
                <c:pt idx="7">
                  <c:v>% of Income used by present emis</c:v>
                </c:pt>
              </c:strCache>
            </c:strRef>
          </c:cat>
          <c:val>
            <c:numRef>
              <c:f>(Backend!$Q$7:$Q$10,Backend!$Q$17:$Q$20)</c:f>
              <c:numCache>
                <c:formatCode>General</c:formatCode>
                <c:ptCount val="8"/>
                <c:pt idx="0">
                  <c:v>10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B-447F-B266-6955B287D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979088"/>
        <c:axId val="1073957936"/>
      </c:radarChart>
      <c:catAx>
        <c:axId val="118397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57936"/>
        <c:crosses val="autoZero"/>
        <c:auto val="1"/>
        <c:lblAlgn val="ctr"/>
        <c:lblOffset val="100"/>
        <c:noMultiLvlLbl val="0"/>
      </c:catAx>
      <c:valAx>
        <c:axId val="1073957936"/>
        <c:scaling>
          <c:orientation val="minMax"/>
        </c:scaling>
        <c:delete val="1"/>
        <c:axPos val="l"/>
        <c:majorGridlines>
          <c:spPr>
            <a:ln w="0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8397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 RATE</a:t>
            </a:r>
          </a:p>
        </c:rich>
      </c:tx>
      <c:layout>
        <c:manualLayout>
          <c:xMode val="edge"/>
          <c:yMode val="edge"/>
          <c:x val="0.43635294560370291"/>
          <c:y val="8.395059606575777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03940456705614"/>
          <c:y val="0.1092907860254648"/>
          <c:w val="0.8684497266213258"/>
          <c:h val="0.725691757869294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Backend!$C$38</c:f>
              <c:strCache>
                <c:ptCount val="1"/>
                <c:pt idx="0">
                  <c:v>PD rate Default data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Backend!$B$39:$B$48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Backend!$C$39:$C$48</c:f>
              <c:numCache>
                <c:formatCode>0.00%</c:formatCode>
                <c:ptCount val="10"/>
                <c:pt idx="0">
                  <c:v>7.4999999999999997E-2</c:v>
                </c:pt>
                <c:pt idx="1">
                  <c:v>0.06</c:v>
                </c:pt>
                <c:pt idx="2">
                  <c:v>0.06</c:v>
                </c:pt>
                <c:pt idx="3">
                  <c:v>0.05</c:v>
                </c:pt>
                <c:pt idx="4">
                  <c:v>0.04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F-423F-9321-797B0DAACB4A}"/>
            </c:ext>
          </c:extLst>
        </c:ser>
        <c:ser>
          <c:idx val="1"/>
          <c:order val="1"/>
          <c:tx>
            <c:strRef>
              <c:f>Backend!$D$38</c:f>
              <c:strCache>
                <c:ptCount val="1"/>
                <c:pt idx="0">
                  <c:v>New Model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Backend!$B$39:$B$48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Backend!$D$39:$D$48</c:f>
              <c:numCache>
                <c:formatCode>0.00%</c:formatCode>
                <c:ptCount val="10"/>
                <c:pt idx="0">
                  <c:v>7.1181818181818179E-2</c:v>
                </c:pt>
                <c:pt idx="1">
                  <c:v>6.3696969696969696E-2</c:v>
                </c:pt>
                <c:pt idx="2">
                  <c:v>5.6212121212121213E-2</c:v>
                </c:pt>
                <c:pt idx="3">
                  <c:v>4.872727272727273E-2</c:v>
                </c:pt>
                <c:pt idx="4">
                  <c:v>4.124242424242424E-2</c:v>
                </c:pt>
                <c:pt idx="5">
                  <c:v>3.3757575757575757E-2</c:v>
                </c:pt>
                <c:pt idx="6">
                  <c:v>2.6272727272727274E-2</c:v>
                </c:pt>
                <c:pt idx="7">
                  <c:v>1.8787878787878791E-2</c:v>
                </c:pt>
                <c:pt idx="8">
                  <c:v>1.1303030303030301E-2</c:v>
                </c:pt>
                <c:pt idx="9">
                  <c:v>3.8181818181818178E-3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AF-423F-9321-797B0DAAC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116592"/>
        <c:axId val="683129072"/>
      </c:scatterChart>
      <c:valAx>
        <c:axId val="6831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129072"/>
        <c:crosses val="autoZero"/>
        <c:crossBetween val="midCat"/>
      </c:valAx>
      <c:valAx>
        <c:axId val="68312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1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(Backend!$P$7:$P$10,Backend!$P$17:$P$20)</c:f>
              <c:strCache>
                <c:ptCount val="8"/>
                <c:pt idx="0">
                  <c:v>Age of Client</c:v>
                </c:pt>
                <c:pt idx="1">
                  <c:v>Vintage</c:v>
                </c:pt>
                <c:pt idx="2">
                  <c:v>Open Loan Accounts</c:v>
                </c:pt>
                <c:pt idx="3">
                  <c:v>Customer trust</c:v>
                </c:pt>
                <c:pt idx="4">
                  <c:v>Sales</c:v>
                </c:pt>
                <c:pt idx="5">
                  <c:v>Stock Available</c:v>
                </c:pt>
                <c:pt idx="6">
                  <c:v>%of present EMIs</c:v>
                </c:pt>
                <c:pt idx="7">
                  <c:v>% of Income used by present emis</c:v>
                </c:pt>
              </c:strCache>
            </c:strRef>
          </c:cat>
          <c:val>
            <c:numRef>
              <c:f>(Backend!$Q$7:$Q$10,Backend!$Q$17:$Q$20)</c:f>
              <c:numCache>
                <c:formatCode>General</c:formatCode>
                <c:ptCount val="8"/>
                <c:pt idx="0">
                  <c:v>10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2-43AC-A04E-EF39D3649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3979088"/>
        <c:axId val="1073957936"/>
      </c:barChart>
      <c:catAx>
        <c:axId val="1183979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57936"/>
        <c:crosses val="autoZero"/>
        <c:auto val="1"/>
        <c:lblAlgn val="ctr"/>
        <c:lblOffset val="100"/>
        <c:noMultiLvlLbl val="0"/>
      </c:catAx>
      <c:valAx>
        <c:axId val="107395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97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plotSurface>
          <cx:spPr>
            <a:ln>
              <a:solidFill>
                <a:schemeClr val="accent1">
                  <a:alpha val="16000"/>
                </a:schemeClr>
              </a:solidFill>
            </a:ln>
          </cx:spPr>
        </cx:plotSurface>
        <cx:series layoutId="sunburst" uniqueId="{6F10375A-E7A6-438A-B8B0-1D23FA3A8992}"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1400175</xdr:colOff>
          <xdr:row>31</xdr:row>
          <xdr:rowOff>47625</xdr:rowOff>
        </xdr:from>
        <xdr:to>
          <xdr:col>9</xdr:col>
          <xdr:colOff>1524000</xdr:colOff>
          <xdr:row>33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152400</xdr:rowOff>
        </xdr:from>
        <xdr:to>
          <xdr:col>6</xdr:col>
          <xdr:colOff>257175</xdr:colOff>
          <xdr:row>27</xdr:row>
          <xdr:rowOff>76200</xdr:rowOff>
        </xdr:to>
        <xdr:sp macro="" textlink="">
          <xdr:nvSpPr>
            <xdr:cNvPr id="6150" name="ScrollBar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142356</xdr:colOff>
      <xdr:row>19</xdr:row>
      <xdr:rowOff>137090</xdr:rowOff>
    </xdr:from>
    <xdr:to>
      <xdr:col>20</xdr:col>
      <xdr:colOff>122770</xdr:colOff>
      <xdr:row>31</xdr:row>
      <xdr:rowOff>30502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156892</xdr:colOff>
      <xdr:row>2</xdr:row>
      <xdr:rowOff>33609</xdr:rowOff>
    </xdr:from>
    <xdr:to>
      <xdr:col>20</xdr:col>
      <xdr:colOff>143365</xdr:colOff>
      <xdr:row>16</xdr:row>
      <xdr:rowOff>128726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5092" y="319359"/>
              <a:ext cx="4606098" cy="27430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1649563</xdr:colOff>
      <xdr:row>32</xdr:row>
      <xdr:rowOff>127488</xdr:rowOff>
    </xdr:from>
    <xdr:to>
      <xdr:col>7</xdr:col>
      <xdr:colOff>683560</xdr:colOff>
      <xdr:row>44</xdr:row>
      <xdr:rowOff>150522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43</xdr:row>
          <xdr:rowOff>66675</xdr:rowOff>
        </xdr:from>
        <xdr:to>
          <xdr:col>2</xdr:col>
          <xdr:colOff>438150</xdr:colOff>
          <xdr:row>46</xdr:row>
          <xdr:rowOff>85725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4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876550</xdr:colOff>
      <xdr:row>34</xdr:row>
      <xdr:rowOff>90268</xdr:rowOff>
    </xdr:from>
    <xdr:to>
      <xdr:col>8</xdr:col>
      <xdr:colOff>963083</xdr:colOff>
      <xdr:row>50</xdr:row>
      <xdr:rowOff>67857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140073</xdr:colOff>
      <xdr:row>57</xdr:row>
      <xdr:rowOff>152400</xdr:rowOff>
    </xdr:from>
    <xdr:to>
      <xdr:col>10</xdr:col>
      <xdr:colOff>1759323</xdr:colOff>
      <xdr:row>69</xdr:row>
      <xdr:rowOff>67235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21C82-E59E-4707-A429-6F0533C9C1DE}">
  <sheetPr codeName="Sheet5">
    <tabColor theme="0" tint="-0.249977111117893"/>
  </sheetPr>
  <dimension ref="E4:O37"/>
  <sheetViews>
    <sheetView showGridLines="0" tabSelected="1" zoomScale="90" zoomScaleNormal="100" workbookViewId="0"/>
  </sheetViews>
  <sheetFormatPr defaultRowHeight="15"/>
  <cols>
    <col min="1" max="4" width="9.140625" style="118"/>
    <col min="5" max="5" width="30.42578125" style="118" bestFit="1" customWidth="1"/>
    <col min="6" max="6" width="18.42578125" style="121" customWidth="1"/>
    <col min="7" max="7" width="13.140625" style="118" customWidth="1"/>
    <col min="8" max="8" width="11.7109375" style="118" customWidth="1"/>
    <col min="9" max="9" width="21.7109375" style="118" customWidth="1"/>
    <col min="10" max="10" width="23.140625" style="118" customWidth="1"/>
    <col min="11" max="11" width="21.7109375" style="118" customWidth="1"/>
    <col min="12" max="12" width="9.140625" style="118"/>
    <col min="13" max="13" width="20.5703125" style="118" bestFit="1" customWidth="1"/>
    <col min="14" max="14" width="9.140625" style="118"/>
    <col min="15" max="15" width="28.28515625" style="118" customWidth="1"/>
    <col min="16" max="16384" width="9.140625" style="118"/>
  </cols>
  <sheetData>
    <row r="4" spans="5:15" ht="15.75" thickBot="1"/>
    <row r="5" spans="5:15" ht="15.75" thickBot="1">
      <c r="E5" s="17" t="s">
        <v>25</v>
      </c>
      <c r="F5" s="103" t="s">
        <v>253</v>
      </c>
      <c r="I5" s="231" t="s">
        <v>188</v>
      </c>
      <c r="J5" s="232"/>
      <c r="K5" s="233"/>
      <c r="M5" s="67" t="s">
        <v>69</v>
      </c>
      <c r="N5" s="271" t="s">
        <v>87</v>
      </c>
      <c r="O5" s="272"/>
    </row>
    <row r="6" spans="5:15">
      <c r="E6" s="17" t="s">
        <v>26</v>
      </c>
      <c r="F6" s="183">
        <v>37448</v>
      </c>
      <c r="I6" s="119"/>
      <c r="K6" s="120"/>
      <c r="M6" s="65" t="s">
        <v>70</v>
      </c>
      <c r="N6" s="255" t="s">
        <v>79</v>
      </c>
      <c r="O6" s="256"/>
    </row>
    <row r="7" spans="5:15">
      <c r="E7" s="115" t="s">
        <v>42</v>
      </c>
      <c r="F7" s="116">
        <f ca="1">Backend!C8</f>
        <v>22.353424657534248</v>
      </c>
      <c r="I7" s="17" t="str">
        <f>E5</f>
        <v>CLIENT NAME</v>
      </c>
      <c r="J7" s="234" t="str">
        <f>F5</f>
        <v>Anil Sharma</v>
      </c>
      <c r="K7" s="234"/>
      <c r="M7" s="65" t="s">
        <v>71</v>
      </c>
      <c r="N7" s="255" t="s">
        <v>80</v>
      </c>
      <c r="O7" s="256"/>
    </row>
    <row r="8" spans="5:15">
      <c r="F8" s="170"/>
      <c r="I8" s="184" t="s">
        <v>254</v>
      </c>
      <c r="J8" s="289">
        <f ca="1">OUTPUT!F7</f>
        <v>56</v>
      </c>
      <c r="K8" s="117"/>
      <c r="M8" s="65" t="s">
        <v>72</v>
      </c>
      <c r="N8" s="255" t="s">
        <v>81</v>
      </c>
      <c r="O8" s="256"/>
    </row>
    <row r="9" spans="5:15">
      <c r="E9" s="17" t="s">
        <v>123</v>
      </c>
      <c r="F9" s="103">
        <v>800</v>
      </c>
      <c r="I9" s="17" t="s">
        <v>191</v>
      </c>
      <c r="J9" s="103" t="str">
        <f ca="1">Backend!E81</f>
        <v>F</v>
      </c>
      <c r="K9" s="120"/>
      <c r="M9" s="65" t="s">
        <v>73</v>
      </c>
      <c r="N9" s="255" t="s">
        <v>0</v>
      </c>
      <c r="O9" s="256"/>
    </row>
    <row r="10" spans="5:15">
      <c r="F10" s="170"/>
      <c r="I10" s="17" t="s">
        <v>197</v>
      </c>
      <c r="J10" s="103" t="str" cm="1">
        <f t="array" aca="1" ref="J10" ca="1">IFERROR(_xlfn.IFS($J$9=J20,K20,J9=J21,K21,J9=J22,K22,J9=J23,K23,J9=J24,K24),0)</f>
        <v>AVOID</v>
      </c>
      <c r="K10" s="120"/>
      <c r="M10" s="65" t="s">
        <v>74</v>
      </c>
      <c r="N10" s="255" t="s">
        <v>82</v>
      </c>
      <c r="O10" s="256"/>
    </row>
    <row r="11" spans="5:15">
      <c r="E11" s="17" t="s">
        <v>120</v>
      </c>
      <c r="F11" s="103">
        <v>5</v>
      </c>
      <c r="I11" s="17" t="s">
        <v>198</v>
      </c>
      <c r="J11" s="103">
        <f ca="1">Backend!E80</f>
        <v>6</v>
      </c>
      <c r="K11" s="217" t="s">
        <v>233</v>
      </c>
      <c r="M11" s="65" t="s">
        <v>75</v>
      </c>
      <c r="N11" s="255" t="s">
        <v>83</v>
      </c>
      <c r="O11" s="256"/>
    </row>
    <row r="12" spans="5:15">
      <c r="E12" s="17" t="s">
        <v>200</v>
      </c>
      <c r="F12" s="103">
        <v>50</v>
      </c>
      <c r="I12" s="17" t="s">
        <v>213</v>
      </c>
      <c r="J12" s="103" t="str">
        <f ca="1">Backend!I7</f>
        <v>Below average score</v>
      </c>
      <c r="K12" s="117"/>
      <c r="M12" s="65" t="s">
        <v>76</v>
      </c>
      <c r="N12" s="255" t="s">
        <v>84</v>
      </c>
      <c r="O12" s="256"/>
    </row>
    <row r="13" spans="5:15">
      <c r="F13" s="170"/>
      <c r="I13" s="124"/>
      <c r="J13" s="185"/>
      <c r="K13" s="125"/>
      <c r="M13" s="65" t="s">
        <v>77</v>
      </c>
      <c r="N13" s="255" t="s">
        <v>85</v>
      </c>
      <c r="O13" s="256"/>
    </row>
    <row r="14" spans="5:15" ht="15.75" thickBot="1">
      <c r="E14" s="17" t="s">
        <v>241</v>
      </c>
      <c r="F14" s="103" t="s">
        <v>236</v>
      </c>
      <c r="G14" s="208"/>
      <c r="I14" s="103" t="s">
        <v>247</v>
      </c>
      <c r="J14" s="126">
        <f>OUTPUT!I22</f>
        <v>0.5</v>
      </c>
      <c r="K14" s="103" t="str">
        <f>OUTPUT!J22</f>
        <v>PASSED</v>
      </c>
      <c r="M14" s="66" t="s">
        <v>78</v>
      </c>
      <c r="N14" s="257" t="s">
        <v>86</v>
      </c>
      <c r="O14" s="258"/>
    </row>
    <row r="15" spans="5:15">
      <c r="E15" s="17" t="s">
        <v>242</v>
      </c>
      <c r="F15" s="103" t="s">
        <v>237</v>
      </c>
      <c r="G15" s="208"/>
    </row>
    <row r="16" spans="5:15">
      <c r="E16" s="17" t="s">
        <v>245</v>
      </c>
      <c r="F16" s="103">
        <v>1</v>
      </c>
      <c r="I16" s="220" t="s">
        <v>232</v>
      </c>
      <c r="J16" s="206" t="s">
        <v>240</v>
      </c>
    </row>
    <row r="17" spans="5:11">
      <c r="E17" s="17" t="s">
        <v>243</v>
      </c>
      <c r="F17" s="103">
        <v>50000</v>
      </c>
      <c r="G17" s="139"/>
    </row>
    <row r="18" spans="5:11">
      <c r="F18" s="170"/>
      <c r="I18" s="228" t="s">
        <v>210</v>
      </c>
      <c r="J18" s="229"/>
      <c r="K18" s="230"/>
    </row>
    <row r="19" spans="5:11">
      <c r="E19" s="17" t="s">
        <v>49</v>
      </c>
      <c r="F19" s="103">
        <v>100000</v>
      </c>
      <c r="I19" s="235" t="s">
        <v>196</v>
      </c>
      <c r="J19" s="236"/>
      <c r="K19" s="237"/>
    </row>
    <row r="20" spans="5:11">
      <c r="E20" s="17" t="s">
        <v>102</v>
      </c>
      <c r="F20" s="213">
        <v>1</v>
      </c>
      <c r="I20" s="127" t="s">
        <v>246</v>
      </c>
      <c r="J20" s="128" t="s">
        <v>195</v>
      </c>
      <c r="K20" s="52" t="s">
        <v>192</v>
      </c>
    </row>
    <row r="21" spans="5:11">
      <c r="E21" s="17" t="s">
        <v>259</v>
      </c>
      <c r="F21" s="213" t="s">
        <v>260</v>
      </c>
      <c r="I21" s="127" t="s">
        <v>248</v>
      </c>
      <c r="J21" s="129" t="s">
        <v>61</v>
      </c>
      <c r="K21" s="52" t="s">
        <v>193</v>
      </c>
    </row>
    <row r="22" spans="5:11">
      <c r="F22" s="170"/>
      <c r="I22" s="127" t="s">
        <v>249</v>
      </c>
      <c r="J22" s="130" t="s">
        <v>201</v>
      </c>
      <c r="K22" s="52" t="s">
        <v>204</v>
      </c>
    </row>
    <row r="23" spans="5:11">
      <c r="E23" s="17" t="s">
        <v>183</v>
      </c>
      <c r="F23" s="103" t="s">
        <v>252</v>
      </c>
      <c r="I23" s="127" t="s">
        <v>250</v>
      </c>
      <c r="J23" s="131" t="s">
        <v>62</v>
      </c>
      <c r="K23" s="52" t="s">
        <v>203</v>
      </c>
    </row>
    <row r="24" spans="5:11" ht="15.75" thickBot="1">
      <c r="E24" s="17" t="s">
        <v>244</v>
      </c>
      <c r="F24" s="103" t="s">
        <v>252</v>
      </c>
      <c r="I24" s="214" t="s">
        <v>251</v>
      </c>
      <c r="J24" s="215" t="s">
        <v>258</v>
      </c>
      <c r="K24" s="216" t="s">
        <v>202</v>
      </c>
    </row>
    <row r="25" spans="5:11" ht="15.75" thickTop="1">
      <c r="F25" s="170"/>
      <c r="I25" s="119"/>
      <c r="K25" s="120"/>
    </row>
    <row r="26" spans="5:11">
      <c r="E26" s="17" t="s">
        <v>121</v>
      </c>
      <c r="F26" s="103">
        <v>12000</v>
      </c>
      <c r="I26" s="226" t="s">
        <v>134</v>
      </c>
      <c r="J26" s="227"/>
      <c r="K26" s="120"/>
    </row>
    <row r="27" spans="5:11">
      <c r="E27" s="17" t="s">
        <v>122</v>
      </c>
      <c r="F27" s="109">
        <v>0.4</v>
      </c>
      <c r="I27" s="103" t="s">
        <v>47</v>
      </c>
      <c r="J27" s="103" t="s">
        <v>205</v>
      </c>
      <c r="K27" s="120"/>
    </row>
    <row r="28" spans="5:11">
      <c r="E28" s="17" t="s">
        <v>129</v>
      </c>
      <c r="F28" s="103">
        <v>50000</v>
      </c>
      <c r="I28" s="103" t="s">
        <v>206</v>
      </c>
      <c r="J28" s="103" t="s">
        <v>201</v>
      </c>
      <c r="K28" s="120"/>
    </row>
    <row r="29" spans="5:11">
      <c r="F29" s="170"/>
      <c r="I29" s="103" t="s">
        <v>48</v>
      </c>
      <c r="J29" s="103" t="s">
        <v>207</v>
      </c>
      <c r="K29" s="120"/>
    </row>
    <row r="30" spans="5:11">
      <c r="E30" s="17" t="s">
        <v>124</v>
      </c>
      <c r="F30" s="103">
        <v>2000</v>
      </c>
      <c r="I30" s="119"/>
      <c r="K30" s="219">
        <f ca="1">TODAY()</f>
        <v>45607</v>
      </c>
    </row>
    <row r="31" spans="5:11" ht="15.75" thickBot="1">
      <c r="E31" s="17" t="s">
        <v>125</v>
      </c>
      <c r="F31" s="103">
        <v>100</v>
      </c>
      <c r="I31" s="223" t="s">
        <v>235</v>
      </c>
      <c r="J31" s="224"/>
      <c r="K31" s="225"/>
    </row>
    <row r="32" spans="5:11">
      <c r="F32" s="170"/>
    </row>
    <row r="33" spans="5:7">
      <c r="E33" s="17" t="s">
        <v>127</v>
      </c>
      <c r="F33" s="103">
        <v>10000</v>
      </c>
    </row>
    <row r="35" spans="5:7">
      <c r="E35" s="17" t="s">
        <v>238</v>
      </c>
      <c r="F35" s="53">
        <v>1</v>
      </c>
      <c r="G35" s="209" t="s">
        <v>239</v>
      </c>
    </row>
    <row r="37" spans="5:7">
      <c r="E37" s="78" t="s">
        <v>126</v>
      </c>
      <c r="F37" s="132">
        <v>0.5</v>
      </c>
      <c r="G37" s="212" t="s">
        <v>128</v>
      </c>
    </row>
  </sheetData>
  <dataConsolidate/>
  <mergeCells count="16">
    <mergeCell ref="N10:O10"/>
    <mergeCell ref="N11:O11"/>
    <mergeCell ref="N12:O12"/>
    <mergeCell ref="N13:O13"/>
    <mergeCell ref="N14:O14"/>
    <mergeCell ref="N5:O5"/>
    <mergeCell ref="N6:O6"/>
    <mergeCell ref="N7:O7"/>
    <mergeCell ref="N8:O8"/>
    <mergeCell ref="N9:O9"/>
    <mergeCell ref="I31:K31"/>
    <mergeCell ref="I26:J26"/>
    <mergeCell ref="I18:K18"/>
    <mergeCell ref="I5:K5"/>
    <mergeCell ref="J7:K7"/>
    <mergeCell ref="I19:K19"/>
  </mergeCells>
  <conditionalFormatting sqref="J14">
    <cfRule type="cellIs" dxfId="22" priority="3" operator="between">
      <formula>0.5</formula>
      <formula>1</formula>
    </cfRule>
    <cfRule type="cellIs" dxfId="21" priority="4" operator="greaterThan">
      <formula>0.5</formula>
    </cfRule>
  </conditionalFormatting>
  <dataValidations count="7">
    <dataValidation type="decimal" operator="greaterThanOrEqual" allowBlank="1" showInputMessage="1" showErrorMessage="1" errorTitle="Assessment passes" error="The loan proposal passed assessment" sqref="J14" xr:uid="{A7F4C15B-E1D8-4FCE-B189-70B45B283507}">
      <formula1>0.5</formula1>
    </dataValidation>
    <dataValidation type="list" allowBlank="1" showInputMessage="1" showErrorMessage="1" sqref="J16" xr:uid="{EC52E021-0409-44D3-8CA1-8CC095AD3A7D}">
      <formula1>"Accept the Proposal, Reject the proposal,Select your Choice"</formula1>
    </dataValidation>
    <dataValidation type="list" allowBlank="1" showInputMessage="1" showErrorMessage="1" sqref="F14:F15" xr:uid="{EA783D9A-C6E3-463A-BA93-4197D5E71B03}">
      <formula1>"OWN, RENT"</formula1>
    </dataValidation>
    <dataValidation type="whole" operator="greaterThanOrEqual" allowBlank="1" showInputMessage="1" showErrorMessage="1" errorTitle="Invalid Loan Amount" error="Loan Amount Should be more than 1,00,000" sqref="F19" xr:uid="{4B4D5125-3D6A-4CB0-886C-35AEB8F8FFFF}">
      <formula1>100000</formula1>
    </dataValidation>
    <dataValidation type="list" allowBlank="1" showInputMessage="1" showErrorMessage="1" sqref="F20" xr:uid="{23B1461D-97F6-4B2F-AB0F-6B002EA8C2CA}">
      <formula1>"Select, 0,1,2,3,4,5, More than 5"</formula1>
    </dataValidation>
    <dataValidation type="list" allowBlank="1" showInputMessage="1" showErrorMessage="1" sqref="F21" xr:uid="{68A0F3A7-F689-48DF-848D-0D92B6C296CE}">
      <formula1>"Select, 0,1, More Than 1"</formula1>
    </dataValidation>
    <dataValidation type="list" allowBlank="1" showInputMessage="1" showErrorMessage="1" sqref="F23" xr:uid="{49F21011-875D-48A6-89FF-8D7E0B5F515E}">
      <formula1>"No Arrears, 0+, 30+, 60+, 90+, 120+, 180+, 240+, 365+"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ScrollBar1">
          <controlPr defaultSize="0" autoLine="0" r:id="rId5">
            <anchor moveWithCells="1">
              <from>
                <xdr:col>6</xdr:col>
                <xdr:colOff>9525</xdr:colOff>
                <xdr:row>25</xdr:row>
                <xdr:rowOff>152400</xdr:rowOff>
              </from>
              <to>
                <xdr:col>6</xdr:col>
                <xdr:colOff>257175</xdr:colOff>
                <xdr:row>27</xdr:row>
                <xdr:rowOff>76200</xdr:rowOff>
              </to>
            </anchor>
          </controlPr>
        </control>
      </mc:Choice>
      <mc:Fallback>
        <control shapeId="6150" r:id="rId4" name="ScrollBar1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Macro2">
            <anchor moveWithCells="1" sizeWithCells="1">
              <from>
                <xdr:col>8</xdr:col>
                <xdr:colOff>1400175</xdr:colOff>
                <xdr:row>31</xdr:row>
                <xdr:rowOff>47625</xdr:rowOff>
              </from>
              <to>
                <xdr:col>9</xdr:col>
                <xdr:colOff>1524000</xdr:colOff>
                <xdr:row>33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29015048-8C58-44C1-97AF-8E46A7DD3AD6}">
            <xm:f>NOT(ISERROR(SEARCH($J$21,J9)))</xm:f>
            <xm:f>$J$21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6" operator="containsText" id="{6E909CE4-50BE-476A-8FB1-D8C7A3C67FED}">
            <xm:f>NOT(ISERROR(SEARCH($J$20,J9)))</xm:f>
            <xm:f>$J$20</xm:f>
            <x14:dxf>
              <fill>
                <patternFill>
                  <bgColor theme="9" tint="0.59996337778862885"/>
                </patternFill>
              </fill>
            </x14:dxf>
          </x14:cfRule>
          <xm:sqref>J9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510C81-A452-4EC6-85F9-F25688AB48E8}">
          <x14:formula1>
            <xm:f>AMMORTISATION!$N$3:$Q$3</xm:f>
          </x14:formula1>
          <xm:sqref>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C955A-E634-4E6D-B830-7206792DF08E}">
  <sheetPr codeName="Sheet1">
    <tabColor theme="9" tint="0.59999389629810485"/>
  </sheetPr>
  <dimension ref="A1:P54"/>
  <sheetViews>
    <sheetView showGridLines="0" zoomScale="85" zoomScaleNormal="85" zoomScaleSheetLayoutView="295" workbookViewId="0">
      <selection activeCell="C46" sqref="C46"/>
    </sheetView>
  </sheetViews>
  <sheetFormatPr defaultRowHeight="15"/>
  <cols>
    <col min="1" max="1" width="4.28515625" style="118" customWidth="1"/>
    <col min="2" max="2" width="21" style="118" customWidth="1"/>
    <col min="3" max="3" width="16.85546875" style="118" customWidth="1"/>
    <col min="4" max="4" width="11.42578125" style="118" customWidth="1"/>
    <col min="5" max="5" width="32.85546875" style="118" bestFit="1" customWidth="1"/>
    <col min="6" max="6" width="19.5703125" style="118" customWidth="1"/>
    <col min="7" max="7" width="25" style="118" customWidth="1"/>
    <col min="8" max="8" width="27.28515625" style="118" bestFit="1" customWidth="1"/>
    <col min="9" max="9" width="27.7109375" style="118" customWidth="1"/>
    <col min="10" max="10" width="22.28515625" style="118" customWidth="1"/>
    <col min="11" max="11" width="31" style="118" customWidth="1"/>
    <col min="12" max="12" width="3.140625" style="118" customWidth="1"/>
    <col min="13" max="13" width="3.42578125" style="118" customWidth="1"/>
    <col min="14" max="14" width="14.42578125" style="118" customWidth="1"/>
    <col min="15" max="16384" width="9.140625" style="118"/>
  </cols>
  <sheetData>
    <row r="1" spans="1:14" ht="6.75" customHeight="1">
      <c r="A1" s="118" t="s">
        <v>231</v>
      </c>
    </row>
    <row r="2" spans="1:14" ht="15.75" customHeight="1">
      <c r="B2" s="249" t="s">
        <v>255</v>
      </c>
      <c r="C2" s="249"/>
      <c r="D2" s="249"/>
      <c r="E2" s="249"/>
      <c r="F2" s="249"/>
      <c r="G2" s="249"/>
      <c r="H2" s="249"/>
      <c r="I2" s="249"/>
      <c r="J2" s="249"/>
      <c r="K2" s="249"/>
      <c r="M2" s="241" t="s">
        <v>167</v>
      </c>
    </row>
    <row r="3" spans="1:14">
      <c r="M3" s="242"/>
    </row>
    <row r="4" spans="1:14">
      <c r="B4" s="17" t="s">
        <v>28</v>
      </c>
      <c r="C4" s="140">
        <f ca="1">TODAY()</f>
        <v>45607</v>
      </c>
      <c r="D4" s="134"/>
      <c r="E4" s="17" t="s">
        <v>32</v>
      </c>
      <c r="F4" s="17">
        <v>104</v>
      </c>
      <c r="G4" s="134"/>
      <c r="H4" s="134"/>
      <c r="I4" s="141" t="s">
        <v>49</v>
      </c>
      <c r="J4" s="142">
        <f>INPUT!F19</f>
        <v>100000</v>
      </c>
      <c r="K4" s="135"/>
      <c r="M4" s="242"/>
      <c r="N4" s="143"/>
    </row>
    <row r="5" spans="1:14">
      <c r="B5" s="119"/>
      <c r="I5" s="144"/>
      <c r="J5" s="144"/>
      <c r="K5" s="120"/>
      <c r="M5" s="242"/>
      <c r="N5" s="143"/>
    </row>
    <row r="6" spans="1:14">
      <c r="B6" s="17" t="s">
        <v>25</v>
      </c>
      <c r="C6" s="145" t="str">
        <f>INPUT!F5</f>
        <v>Anil Sharma</v>
      </c>
      <c r="E6" s="17" t="s">
        <v>170</v>
      </c>
      <c r="F6" s="146">
        <v>720</v>
      </c>
      <c r="I6" s="147" t="s">
        <v>191</v>
      </c>
      <c r="J6" s="147" t="str">
        <f ca="1">Backend!I8</f>
        <v>F</v>
      </c>
      <c r="K6" s="120"/>
      <c r="M6" s="242"/>
      <c r="N6" s="143"/>
    </row>
    <row r="7" spans="1:14">
      <c r="B7" s="17" t="s">
        <v>26</v>
      </c>
      <c r="C7" s="148">
        <v>35987</v>
      </c>
      <c r="E7" s="17" t="s">
        <v>254</v>
      </c>
      <c r="F7" s="149">
        <f ca="1">Backend!F7</f>
        <v>56</v>
      </c>
      <c r="G7" s="138"/>
      <c r="I7" s="147" t="str" cm="1">
        <f t="array" ref="I7:I8">INPUT!I10:I11</f>
        <v>BAND ATTRIBUTE</v>
      </c>
      <c r="J7" s="147" t="str" cm="1">
        <f t="array" aca="1" ref="J7:J8" ca="1">INPUT!J10:J11</f>
        <v>AVOID</v>
      </c>
      <c r="K7" s="120"/>
      <c r="M7" s="242"/>
      <c r="N7" s="121"/>
    </row>
    <row r="8" spans="1:14">
      <c r="B8" s="17" t="s">
        <v>24</v>
      </c>
      <c r="C8" s="150">
        <f ca="1">Backend!C8</f>
        <v>22.353424657534248</v>
      </c>
      <c r="F8" s="151"/>
      <c r="I8" s="147" t="str">
        <v>RISK SCALE</v>
      </c>
      <c r="J8" s="147">
        <f ca="1"/>
        <v>6</v>
      </c>
      <c r="K8" s="120"/>
      <c r="M8" s="242"/>
      <c r="N8" s="121"/>
    </row>
    <row r="9" spans="1:14" ht="15" customHeight="1">
      <c r="B9" s="17" t="s">
        <v>99</v>
      </c>
      <c r="C9" s="17">
        <v>5</v>
      </c>
      <c r="D9" s="136"/>
      <c r="E9" s="108" t="s">
        <v>46</v>
      </c>
      <c r="F9" s="103" t="str">
        <f ca="1">Backend!I7</f>
        <v>Below average score</v>
      </c>
      <c r="G9" s="136"/>
      <c r="H9" s="136"/>
      <c r="I9" s="136"/>
      <c r="J9" s="136"/>
      <c r="K9" s="137"/>
      <c r="M9" s="242"/>
      <c r="N9" s="121"/>
    </row>
    <row r="10" spans="1:14" ht="12.75" customHeight="1">
      <c r="M10" s="242"/>
      <c r="N10" s="121"/>
    </row>
    <row r="11" spans="1:14" ht="15.75">
      <c r="B11" s="248" t="s">
        <v>212</v>
      </c>
      <c r="C11" s="248"/>
      <c r="D11" s="248"/>
      <c r="E11" s="248"/>
      <c r="F11" s="248"/>
      <c r="G11" s="248"/>
      <c r="H11" s="248"/>
      <c r="I11" s="248"/>
      <c r="J11" s="248"/>
      <c r="K11" s="248"/>
      <c r="M11" s="242"/>
      <c r="N11" s="121"/>
    </row>
    <row r="12" spans="1:14">
      <c r="M12" s="242"/>
      <c r="N12" s="121"/>
    </row>
    <row r="13" spans="1:14">
      <c r="B13" s="152" t="s">
        <v>8</v>
      </c>
      <c r="C13" s="53" t="s">
        <v>9</v>
      </c>
      <c r="D13" s="134"/>
      <c r="E13" s="246" t="s">
        <v>208</v>
      </c>
      <c r="F13" s="247"/>
      <c r="G13" s="153"/>
      <c r="H13" s="134"/>
      <c r="I13" s="134"/>
      <c r="J13" s="134"/>
      <c r="K13" s="135"/>
      <c r="M13" s="242"/>
      <c r="N13" s="121"/>
    </row>
    <row r="14" spans="1:14">
      <c r="B14" s="123" t="s">
        <v>2</v>
      </c>
      <c r="C14" s="123">
        <f>Backend!C16</f>
        <v>12000</v>
      </c>
      <c r="E14" s="122" t="s">
        <v>36</v>
      </c>
      <c r="F14" s="159">
        <f>IFERROR($C$16/$C$17,0)</f>
        <v>0.48</v>
      </c>
      <c r="G14" s="154" t="s">
        <v>29</v>
      </c>
      <c r="H14" s="250" t="s">
        <v>50</v>
      </c>
      <c r="I14" s="251"/>
      <c r="J14" s="251"/>
      <c r="K14" s="252"/>
      <c r="M14" s="242"/>
      <c r="N14" s="121"/>
    </row>
    <row r="15" spans="1:14">
      <c r="B15" s="123" t="s">
        <v>3</v>
      </c>
      <c r="C15" s="155">
        <f>Backend!C17</f>
        <v>0.4</v>
      </c>
      <c r="E15" s="122" t="s">
        <v>37</v>
      </c>
      <c r="F15" s="159">
        <f>IFERROR($C$16/C18,0)</f>
        <v>9.6000000000000002E-2</v>
      </c>
      <c r="G15" s="154" t="s">
        <v>211</v>
      </c>
      <c r="H15" s="53" t="s">
        <v>16</v>
      </c>
      <c r="I15" s="53" t="s">
        <v>39</v>
      </c>
      <c r="J15" s="53" t="s">
        <v>17</v>
      </c>
      <c r="K15" s="53" t="s">
        <v>30</v>
      </c>
      <c r="M15" s="242"/>
      <c r="N15" s="121"/>
    </row>
    <row r="16" spans="1:14">
      <c r="B16" s="17" t="s">
        <v>7</v>
      </c>
      <c r="C16" s="17">
        <f>$C$14*$C$15</f>
        <v>4800</v>
      </c>
      <c r="E16" s="122" t="s">
        <v>38</v>
      </c>
      <c r="F16" s="159">
        <f>IFERROR(C24/C14,0)</f>
        <v>8.3333333333333332E-3</v>
      </c>
      <c r="G16" s="154" t="s">
        <v>20</v>
      </c>
      <c r="H16" s="53">
        <f>I26</f>
        <v>54</v>
      </c>
      <c r="I16" s="53" t="str">
        <f>Backend!I18</f>
        <v>Reject the proposal</v>
      </c>
      <c r="J16" s="156">
        <f>$J$4-J26</f>
        <v>39000</v>
      </c>
      <c r="K16" s="287" t="str">
        <f>Backend!K18</f>
        <v>NO</v>
      </c>
      <c r="M16" s="242"/>
    </row>
    <row r="17" spans="2:14">
      <c r="B17" s="123" t="s">
        <v>10</v>
      </c>
      <c r="C17" s="123">
        <f>Backend!C19</f>
        <v>10000</v>
      </c>
      <c r="E17" s="122" t="str">
        <f>Backend!E19</f>
        <v>Retained earnings to Assets Ratio</v>
      </c>
      <c r="F17" s="126">
        <f>IFERROR(C14/C22,0)</f>
        <v>4.2857142857142856</v>
      </c>
      <c r="G17" s="154" t="s">
        <v>21</v>
      </c>
      <c r="H17" s="53">
        <f>I27</f>
        <v>75</v>
      </c>
      <c r="I17" s="53" t="str">
        <f>IF($J$4&gt;1.1*J27,Backend!$F$67,Backend!$F$68)</f>
        <v>Reject the proposal</v>
      </c>
      <c r="J17" s="156">
        <f>$J$4-J27</f>
        <v>19000</v>
      </c>
      <c r="K17" s="287" t="str">
        <f>Backend!K19</f>
        <v>NO</v>
      </c>
      <c r="M17" s="242"/>
      <c r="N17" s="157"/>
    </row>
    <row r="18" spans="2:14">
      <c r="B18" s="123" t="s">
        <v>11</v>
      </c>
      <c r="C18" s="123">
        <f>Backend!C20</f>
        <v>50000</v>
      </c>
      <c r="E18" s="133"/>
      <c r="F18" s="133"/>
      <c r="G18" s="158"/>
      <c r="H18" s="53">
        <f>I28</f>
        <v>104</v>
      </c>
      <c r="I18" s="53" t="str">
        <f>IF($J$4&gt;1.1*J28,Backend!$F$67,Backend!$F$68)</f>
        <v>Accept the proposal</v>
      </c>
      <c r="J18" s="156">
        <f>$J$4-J28</f>
        <v>-4000</v>
      </c>
      <c r="K18" s="287" t="str">
        <f>Backend!K20</f>
        <v>NO</v>
      </c>
      <c r="M18" s="242"/>
      <c r="N18" s="143"/>
    </row>
    <row r="19" spans="2:14">
      <c r="B19" s="119"/>
      <c r="E19" s="103" t="s">
        <v>23</v>
      </c>
      <c r="F19" s="159">
        <f>Backend!F21</f>
        <v>0.5</v>
      </c>
      <c r="G19" s="154" t="s">
        <v>22</v>
      </c>
      <c r="H19" s="53">
        <f>I29</f>
        <v>156</v>
      </c>
      <c r="I19" s="53" t="str">
        <f>IF($J$4&gt;1.1*J29,Backend!$F$67,Backend!$F$68)</f>
        <v>Accept the proposal</v>
      </c>
      <c r="J19" s="156">
        <f>$J$4-J29</f>
        <v>-38000</v>
      </c>
      <c r="K19" s="287" t="str">
        <f>Backend!K21</f>
        <v>NO</v>
      </c>
      <c r="M19" s="242"/>
      <c r="N19" s="143"/>
    </row>
    <row r="20" spans="2:14">
      <c r="B20" s="119"/>
      <c r="E20" s="133"/>
      <c r="F20" s="133"/>
      <c r="G20" s="144"/>
      <c r="K20" s="120"/>
      <c r="M20" s="242"/>
      <c r="N20" s="121"/>
    </row>
    <row r="21" spans="2:14">
      <c r="B21" s="123" t="s">
        <v>4</v>
      </c>
      <c r="C21" s="123">
        <f>Backend!C23</f>
        <v>2000</v>
      </c>
      <c r="E21" s="133"/>
      <c r="F21" s="133"/>
      <c r="K21" s="120"/>
      <c r="M21" s="242"/>
      <c r="N21" s="121"/>
    </row>
    <row r="22" spans="2:14">
      <c r="B22" s="16" t="s">
        <v>5</v>
      </c>
      <c r="C22" s="123">
        <f>Backend!C24</f>
        <v>2800</v>
      </c>
      <c r="E22" s="122" t="s">
        <v>137</v>
      </c>
      <c r="F22" s="103">
        <f>Backend!I53</f>
        <v>11880</v>
      </c>
      <c r="H22" s="103" t="s">
        <v>150</v>
      </c>
      <c r="I22" s="109">
        <f>Backend!I31</f>
        <v>0.5</v>
      </c>
      <c r="J22" s="103" t="str">
        <f>IF(I22&gt;=0.25,Backend!G70,Backend!G71)</f>
        <v>PASSED</v>
      </c>
      <c r="K22" s="120"/>
      <c r="M22" s="242"/>
      <c r="N22" s="121"/>
    </row>
    <row r="23" spans="2:14">
      <c r="B23" s="16" t="s">
        <v>6</v>
      </c>
      <c r="C23" s="123">
        <f>Backend!C25</f>
        <v>1400</v>
      </c>
      <c r="E23" s="133"/>
      <c r="F23" s="133"/>
      <c r="K23" s="120"/>
      <c r="M23" s="242"/>
      <c r="N23" s="121"/>
    </row>
    <row r="24" spans="2:14">
      <c r="B24" s="160" t="s">
        <v>12</v>
      </c>
      <c r="C24" s="123">
        <f>Backend!C26</f>
        <v>100</v>
      </c>
      <c r="I24" s="245" t="s">
        <v>169</v>
      </c>
      <c r="J24" s="245"/>
      <c r="K24" s="120"/>
      <c r="M24" s="242"/>
      <c r="N24" s="121"/>
    </row>
    <row r="25" spans="2:14">
      <c r="B25" s="17" t="s">
        <v>13</v>
      </c>
      <c r="C25" s="123">
        <f>Backend!C27</f>
        <v>1300</v>
      </c>
      <c r="I25" s="161" t="s">
        <v>16</v>
      </c>
      <c r="J25" s="162" t="s">
        <v>19</v>
      </c>
      <c r="K25" s="120"/>
      <c r="M25" s="242"/>
      <c r="N25" s="121"/>
    </row>
    <row r="26" spans="2:14">
      <c r="B26" s="119"/>
      <c r="I26" s="163">
        <v>54</v>
      </c>
      <c r="J26" s="164">
        <f>ROUNDUP(-PV(28%/365*7,I26,$C$25,0),-3)</f>
        <v>61000</v>
      </c>
      <c r="K26" s="120"/>
      <c r="M26" s="242"/>
      <c r="N26" s="121"/>
    </row>
    <row r="27" spans="2:14">
      <c r="B27" s="254" t="s">
        <v>134</v>
      </c>
      <c r="C27" s="254"/>
      <c r="I27" s="163">
        <v>75</v>
      </c>
      <c r="J27" s="164">
        <f>ROUNDUP(-PV(28%/365*7,I27,$C$25,0),-3)</f>
        <v>81000</v>
      </c>
      <c r="K27" s="120"/>
      <c r="M27" s="242"/>
      <c r="N27" s="121"/>
    </row>
    <row r="28" spans="2:14">
      <c r="B28" s="103" t="s">
        <v>47</v>
      </c>
      <c r="C28" s="103" t="s">
        <v>132</v>
      </c>
      <c r="I28" s="163">
        <v>104</v>
      </c>
      <c r="J28" s="164">
        <f>ROUNDUP(-PV(28%/365*7,I28,$C$25,0),-3)</f>
        <v>104000</v>
      </c>
      <c r="K28" s="120"/>
      <c r="M28" s="242"/>
      <c r="N28" s="121"/>
    </row>
    <row r="29" spans="2:14">
      <c r="B29" s="103" t="s">
        <v>48</v>
      </c>
      <c r="C29" s="103" t="s">
        <v>62</v>
      </c>
      <c r="I29" s="165">
        <v>156</v>
      </c>
      <c r="J29" s="166">
        <f>ROUNDUP(-PV(28%/365*7,I29,$C$25,0),-3)</f>
        <v>138000</v>
      </c>
      <c r="K29" s="120"/>
      <c r="M29" s="242"/>
      <c r="N29" s="121"/>
    </row>
    <row r="30" spans="2:14" ht="15.75" thickBot="1">
      <c r="B30" s="167" t="s">
        <v>119</v>
      </c>
      <c r="C30" s="167" t="s">
        <v>133</v>
      </c>
      <c r="D30" s="168"/>
      <c r="E30" s="168"/>
      <c r="F30" s="168"/>
      <c r="G30" s="168"/>
      <c r="H30" s="168"/>
      <c r="I30" s="168"/>
      <c r="J30" s="168"/>
      <c r="K30" s="169"/>
      <c r="M30" s="242"/>
      <c r="N30" s="121"/>
    </row>
    <row r="31" spans="2:14" ht="9.75" customHeight="1" thickTop="1">
      <c r="M31" s="243"/>
      <c r="N31" s="121"/>
    </row>
    <row r="32" spans="2:14">
      <c r="B32" s="238" t="s">
        <v>134</v>
      </c>
      <c r="C32" s="238"/>
      <c r="D32" s="238"/>
      <c r="E32" s="238"/>
      <c r="F32" s="238"/>
      <c r="G32" s="238"/>
      <c r="H32" s="238"/>
      <c r="I32" s="238"/>
      <c r="J32" s="238"/>
      <c r="K32" s="238"/>
      <c r="M32" s="244"/>
    </row>
    <row r="33" spans="2:16" ht="6.75" customHeight="1"/>
    <row r="34" spans="2:16">
      <c r="B34" s="239" t="str">
        <f>Backend!P4</f>
        <v>Variables Taken For Scoring model</v>
      </c>
      <c r="C34" s="239"/>
      <c r="D34" s="239"/>
      <c r="I34" s="246" t="str">
        <f>Backend!P15</f>
        <v>Profitability Scores</v>
      </c>
      <c r="J34" s="253"/>
      <c r="K34" s="247"/>
    </row>
    <row r="35" spans="2:16">
      <c r="B35" s="240" t="str">
        <f>Backend!P5</f>
        <v>Basic Scoring based on client</v>
      </c>
      <c r="C35" s="240"/>
      <c r="D35" s="240"/>
      <c r="I35" s="103" t="str">
        <f>Backend!P16</f>
        <v>Criterion</v>
      </c>
      <c r="J35" s="178" t="str">
        <f>Backend!Q16</f>
        <v>Score</v>
      </c>
      <c r="K35" s="178" t="str">
        <f>Backend!R16</f>
        <v>out of</v>
      </c>
    </row>
    <row r="36" spans="2:16">
      <c r="B36" s="171" t="str">
        <f>Backend!P6</f>
        <v>Criterion</v>
      </c>
      <c r="C36" s="172" t="str">
        <f>Backend!Q6</f>
        <v>Score</v>
      </c>
      <c r="D36" s="173" t="str">
        <f>Backend!R6</f>
        <v>Out Of</v>
      </c>
      <c r="I36" s="174" t="str">
        <f>Backend!P17</f>
        <v>Sales</v>
      </c>
      <c r="J36" s="179">
        <f>Backend!Q17</f>
        <v>4</v>
      </c>
      <c r="K36" s="180">
        <f>Backend!R17</f>
        <v>9</v>
      </c>
    </row>
    <row r="37" spans="2:16">
      <c r="B37" s="175" t="str">
        <f>Backend!P7</f>
        <v>Age of Client</v>
      </c>
      <c r="C37" s="133">
        <f ca="1">Backend!Q7/2</f>
        <v>5</v>
      </c>
      <c r="D37" s="176">
        <f>Backend!N8/2</f>
        <v>5</v>
      </c>
      <c r="H37" s="186" t="s">
        <v>214</v>
      </c>
      <c r="I37" s="175" t="str">
        <f>Backend!P18</f>
        <v>Stock Available</v>
      </c>
      <c r="J37" s="181">
        <f>Backend!Q18</f>
        <v>0</v>
      </c>
      <c r="K37" s="182">
        <f>Backend!R18</f>
        <v>10</v>
      </c>
    </row>
    <row r="38" spans="2:16">
      <c r="B38" s="175" t="str">
        <f>Backend!P8</f>
        <v>Vintage</v>
      </c>
      <c r="C38" s="133">
        <f>Backend!Q8/2</f>
        <v>2</v>
      </c>
      <c r="D38" s="207">
        <f>9/2</f>
        <v>4.5</v>
      </c>
      <c r="I38" s="175" t="str">
        <f>Backend!P19</f>
        <v>%of present EMIs</v>
      </c>
      <c r="J38" s="181">
        <f>Backend!Q19</f>
        <v>0</v>
      </c>
      <c r="K38" s="182">
        <f>Backend!R19</f>
        <v>10</v>
      </c>
    </row>
    <row r="39" spans="2:16">
      <c r="B39" s="175" t="str">
        <f>Backend!P9</f>
        <v>Open Loan Accounts</v>
      </c>
      <c r="C39" s="133">
        <f>Backend!Q9/2</f>
        <v>4</v>
      </c>
      <c r="D39" s="176">
        <f>Backend!N53/2</f>
        <v>5</v>
      </c>
      <c r="I39" s="175" t="str">
        <f>Backend!P20</f>
        <v>% of Income used by present emis</v>
      </c>
      <c r="J39" s="181">
        <f>Backend!Q20</f>
        <v>6</v>
      </c>
      <c r="K39" s="182">
        <f>Backend!R20</f>
        <v>10</v>
      </c>
    </row>
    <row r="40" spans="2:16">
      <c r="B40" s="175" t="str">
        <f>Backend!P10</f>
        <v>Customer trust</v>
      </c>
      <c r="C40" s="133">
        <f>Backend!Q10/2</f>
        <v>2.5</v>
      </c>
      <c r="D40" s="176">
        <f>Backend!R10/2</f>
        <v>2.5</v>
      </c>
      <c r="I40" s="175" t="str">
        <f>Backend!P21</f>
        <v>Similar Businessess in their radius</v>
      </c>
      <c r="J40" s="181">
        <f>Backend!Q21</f>
        <v>4</v>
      </c>
      <c r="K40" s="182">
        <f>Backend!R21</f>
        <v>5</v>
      </c>
    </row>
    <row r="41" spans="2:16">
      <c r="B41" s="175" t="str">
        <f>Backend!P11</f>
        <v>Shop Ownership</v>
      </c>
      <c r="C41" s="133">
        <f>Backend!Q11/2</f>
        <v>0</v>
      </c>
      <c r="D41" s="176">
        <f>Backend!R11/2</f>
        <v>5</v>
      </c>
      <c r="I41" s="175" t="str">
        <f>Backend!P22</f>
        <v>Days In Arrears</v>
      </c>
      <c r="J41" s="181">
        <f>Backend!Q22</f>
        <v>4</v>
      </c>
      <c r="K41" s="182">
        <f>Backend!R22</f>
        <v>6</v>
      </c>
    </row>
    <row r="42" spans="2:16">
      <c r="B42" s="175" t="str">
        <f>Backend!P12</f>
        <v>House Ownership</v>
      </c>
      <c r="C42" s="133">
        <f>Backend!Q12/2</f>
        <v>2.5</v>
      </c>
      <c r="D42" s="176">
        <f>Backend!R12/2</f>
        <v>5</v>
      </c>
      <c r="I42" s="175" t="str">
        <f>Backend!P23</f>
        <v>% OF INCOME ASSESSMENT</v>
      </c>
      <c r="J42" s="211">
        <f>Backend!Q23</f>
        <v>6</v>
      </c>
      <c r="K42" s="133">
        <f>Backend!R23</f>
        <v>10</v>
      </c>
    </row>
    <row r="43" spans="2:16">
      <c r="B43" s="171" t="str">
        <f>Backend!P13</f>
        <v>Total Score</v>
      </c>
      <c r="C43" s="172">
        <f ca="1">Backend!Q13</f>
        <v>32</v>
      </c>
      <c r="D43" s="173">
        <f>Backend!R13</f>
        <v>50</v>
      </c>
      <c r="I43" s="171" t="str">
        <f>Backend!P25</f>
        <v>Total Score</v>
      </c>
      <c r="J43" s="210">
        <f>Backend!Q25</f>
        <v>24</v>
      </c>
      <c r="K43" s="173">
        <f>Backend!R25</f>
        <v>60</v>
      </c>
    </row>
    <row r="45" spans="2:16">
      <c r="I45" s="186"/>
    </row>
    <row r="46" spans="2:16">
      <c r="E46" s="186"/>
    </row>
    <row r="47" spans="2:16">
      <c r="F47" s="186"/>
    </row>
    <row r="48" spans="2:16">
      <c r="P48" s="186"/>
    </row>
    <row r="49" spans="7:9">
      <c r="I49" s="186"/>
    </row>
    <row r="54" spans="7:9">
      <c r="G54" s="186"/>
    </row>
  </sheetData>
  <autoFilter ref="H15:H19" xr:uid="{615C955A-E634-4E6D-B830-7206792DF08E}"/>
  <mergeCells count="11">
    <mergeCell ref="B32:K32"/>
    <mergeCell ref="B34:D34"/>
    <mergeCell ref="B35:D35"/>
    <mergeCell ref="M2:M32"/>
    <mergeCell ref="I24:J24"/>
    <mergeCell ref="E13:F13"/>
    <mergeCell ref="B11:K11"/>
    <mergeCell ref="B2:K2"/>
    <mergeCell ref="H14:K14"/>
    <mergeCell ref="I34:K34"/>
    <mergeCell ref="B27:C27"/>
  </mergeCells>
  <phoneticPr fontId="13" type="noConversion"/>
  <conditionalFormatting sqref="I22:J22">
    <cfRule type="iconSet" priority="5">
      <iconSet iconSet="3Arrows">
        <cfvo type="percent" val="0"/>
        <cfvo type="percent" val="33"/>
        <cfvo type="percent" val="67"/>
      </iconSet>
    </cfRule>
  </conditionalFormatting>
  <dataValidations disablePrompts="1" count="3">
    <dataValidation type="whole" errorStyle="warning" operator="lessThanOrEqual" allowBlank="1" showErrorMessage="1" errorTitle="Negative Income Assessment" error="The client Income assessment is negative so better not disbusde the loan" sqref="J27" xr:uid="{A43A166F-C243-4EDA-BDE8-020A7FE9C1D6}">
      <formula1>#REF!</formula1>
    </dataValidation>
    <dataValidation type="whole" errorStyle="warning" operator="lessThanOrEqual" allowBlank="1" showErrorMessage="1" errorTitle="Negative Income Assessment" error="The client Income assessment is negative so better not disbusde the loan" sqref="J28:J29" xr:uid="{C178F8DC-F513-410D-A629-18D3E1EC57BF}">
      <formula1>I15</formula1>
    </dataValidation>
    <dataValidation type="whole" errorStyle="warning" operator="lessThanOrEqual" allowBlank="1" showErrorMessage="1" errorTitle="Negative Income Assessment" error="The client Income assessment is negative so better not disbusde the loan" sqref="J26" xr:uid="{E9EBD872-C4D8-4CDB-831E-79E9F67ADA30}">
      <formula1>J4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8" r:id="rId4" name="Button 22">
              <controlPr defaultSize="0" print="0" autoFill="0" autoPict="0" macro="[0]!_xludf.COPY">
                <anchor moveWithCells="1" sizeWithCells="1">
                  <from>
                    <xdr:col>0</xdr:col>
                    <xdr:colOff>285750</xdr:colOff>
                    <xdr:row>43</xdr:row>
                    <xdr:rowOff>66675</xdr:rowOff>
                  </from>
                  <to>
                    <xdr:col>2</xdr:col>
                    <xdr:colOff>438150</xdr:colOff>
                    <xdr:row>46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417AD2A6-78D4-4FC0-A8CA-7D52AAC39C92}">
            <xm:f>NOT(ISERROR(SEARCH(Backend!$K$37,F9)))</xm:f>
            <xm:f>Backend!$K$37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" operator="containsText" id="{A89E2AD1-2AB4-4CC6-8750-768D7E5827F4}">
            <xm:f>NOT(ISERROR(SEARCH(Backend!$K$36,F9)))</xm:f>
            <xm:f>Backend!$K$36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1" operator="containsText" id="{4E17D438-B197-4AA4-B4ED-926A900DA3B1}">
            <xm:f>NOT(ISERROR(SEARCH($I$18,I16)))</xm:f>
            <xm:f>$I$18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2" operator="containsText" id="{CD249779-4D6E-4301-B374-63767D8375E5}">
            <xm:f>NOT(ISERROR(SEARCH($I$16,I16)))</xm:f>
            <xm:f>$I$16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6" operator="containsText" id="{CB0D32E5-6654-4C1E-8422-C8574B1AD6C3}">
            <xm:f>NOT(ISERROR(SEARCH(Backend!$F$68,I16)))</xm:f>
            <xm:f>Backend!$F$68</xm:f>
            <x14:dxf>
              <font>
                <color theme="9" tint="-0.24994659260841701"/>
              </font>
            </x14:dxf>
          </x14:cfRule>
          <xm:sqref>I16:I19</xm:sqref>
        </x14:conditionalFormatting>
        <x14:conditionalFormatting xmlns:xm="http://schemas.microsoft.com/office/excel/2006/main">
          <x14:cfRule type="containsText" priority="17" operator="containsText" id="{33B8B68B-312B-4C58-B8B9-9F4942CB29CA}">
            <xm:f>NOT(ISERROR(SEARCH(Backend!$G$67,I16)))</xm:f>
            <xm:f>Backend!$G$67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E2000F73-A2D0-41A9-9FE5-4DD419B770EF}">
            <xm:f>NOT(ISERROR(SEARCH(Backend!$G$68,I16)))</xm:f>
            <xm:f>Backend!$G$68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" operator="containsText" id="{D21DEF73-B4C3-4599-BFD1-A59B64995AA0}">
            <xm:f>NOT(ISERROR(SEARCH(Backend!$F$68,I16)))</xm:f>
            <xm:f>Backend!$F$68</xm:f>
            <x14:dxf>
              <font>
                <color theme="9"/>
              </font>
              <fill>
                <patternFill patternType="none">
                  <bgColor auto="1"/>
                </patternFill>
              </fill>
            </x14:dxf>
          </x14:cfRule>
          <x14:cfRule type="containsText" priority="20" operator="containsText" id="{859949C0-38C7-4C8E-9273-7743BCC0468B}">
            <xm:f>NOT(ISERROR(SEARCH(Backend!$F$67,I16)))</xm:f>
            <xm:f>Backend!$F$67</xm:f>
            <x14:dxf>
              <font>
                <color rgb="FF9C0006"/>
              </font>
            </x14:dxf>
          </x14:cfRule>
          <xm:sqref>I16:J19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AA50-54A0-43B8-8235-684DA33E4842}">
  <sheetPr codeName="Sheet8">
    <tabColor rgb="FF0070C0"/>
  </sheetPr>
  <dimension ref="B2:R52"/>
  <sheetViews>
    <sheetView showGridLines="0" zoomScale="75" zoomScaleNormal="85" workbookViewId="0">
      <selection activeCell="I42" sqref="I42"/>
    </sheetView>
  </sheetViews>
  <sheetFormatPr defaultRowHeight="15"/>
  <cols>
    <col min="2" max="2" width="28.42578125" customWidth="1"/>
    <col min="3" max="3" width="11.7109375" customWidth="1"/>
    <col min="4" max="4" width="8.140625" customWidth="1"/>
    <col min="5" max="5" width="14" bestFit="1" customWidth="1"/>
    <col min="6" max="6" width="19.5703125" customWidth="1"/>
    <col min="8" max="8" width="14" bestFit="1" customWidth="1"/>
    <col min="9" max="9" width="20.5703125" customWidth="1"/>
    <col min="11" max="11" width="13.7109375" bestFit="1" customWidth="1"/>
    <col min="12" max="12" width="17.7109375" customWidth="1"/>
    <col min="14" max="14" width="18.85546875" customWidth="1"/>
    <col min="15" max="15" width="17.28515625" customWidth="1"/>
    <col min="17" max="17" width="15.28515625" customWidth="1"/>
    <col min="18" max="18" width="17.7109375" customWidth="1"/>
  </cols>
  <sheetData>
    <row r="2" spans="2:18">
      <c r="B2" s="14" t="s">
        <v>155</v>
      </c>
    </row>
    <row r="3" spans="2:18">
      <c r="B3" s="221" t="s">
        <v>209</v>
      </c>
      <c r="C3" s="222"/>
      <c r="E3" s="221" t="s">
        <v>98</v>
      </c>
      <c r="F3" s="222"/>
      <c r="H3" s="273" t="s">
        <v>148</v>
      </c>
      <c r="I3" s="273"/>
      <c r="K3" s="273" t="s">
        <v>140</v>
      </c>
      <c r="L3" s="273"/>
      <c r="N3" s="265" t="s">
        <v>171</v>
      </c>
      <c r="O3" s="265"/>
      <c r="Q3" s="273" t="s">
        <v>148</v>
      </c>
      <c r="R3" s="273"/>
    </row>
    <row r="4" spans="2:18">
      <c r="B4" s="6" t="s">
        <v>45</v>
      </c>
      <c r="C4" s="46">
        <v>6</v>
      </c>
      <c r="E4" s="45" t="s">
        <v>45</v>
      </c>
      <c r="F4" s="6">
        <f>COUNT(F6:F12)</f>
        <v>7</v>
      </c>
      <c r="H4" s="45" t="s">
        <v>45</v>
      </c>
      <c r="I4" s="77">
        <f>COUNT(I6:I12)</f>
        <v>5</v>
      </c>
      <c r="K4" s="45" t="s">
        <v>45</v>
      </c>
      <c r="L4" s="77">
        <f>COUNT(L6:L12)</f>
        <v>7</v>
      </c>
      <c r="N4" s="6" t="s">
        <v>45</v>
      </c>
      <c r="O4" s="6">
        <f>COUNT(O6:O11)</f>
        <v>4</v>
      </c>
      <c r="Q4" s="45" t="s">
        <v>45</v>
      </c>
      <c r="R4" s="77">
        <f>COUNT(R6:R12)</f>
        <v>5</v>
      </c>
    </row>
    <row r="5" spans="2:18">
      <c r="B5" s="40" t="s">
        <v>42</v>
      </c>
      <c r="C5" s="6" t="s">
        <v>43</v>
      </c>
      <c r="E5" s="40" t="s">
        <v>97</v>
      </c>
      <c r="F5" s="55" t="s">
        <v>43</v>
      </c>
      <c r="H5" s="6" t="s">
        <v>142</v>
      </c>
      <c r="I5" s="6" t="s">
        <v>43</v>
      </c>
      <c r="K5" s="6" t="s">
        <v>142</v>
      </c>
      <c r="L5" s="6" t="s">
        <v>43</v>
      </c>
      <c r="N5" s="6" t="s">
        <v>172</v>
      </c>
      <c r="O5" s="6" t="s">
        <v>43</v>
      </c>
      <c r="Q5" s="6" t="s">
        <v>142</v>
      </c>
      <c r="R5" s="6" t="s">
        <v>43</v>
      </c>
    </row>
    <row r="6" spans="2:18">
      <c r="B6" s="18">
        <v>0</v>
      </c>
      <c r="C6" s="18">
        <v>0</v>
      </c>
      <c r="E6" s="18" t="s">
        <v>101</v>
      </c>
      <c r="F6" s="18">
        <v>4</v>
      </c>
      <c r="H6" s="69">
        <v>0</v>
      </c>
      <c r="I6" s="18">
        <v>0</v>
      </c>
      <c r="K6" s="69">
        <v>0.1</v>
      </c>
      <c r="L6" s="18">
        <v>10</v>
      </c>
      <c r="N6" s="18">
        <v>0</v>
      </c>
      <c r="O6" s="18">
        <v>5</v>
      </c>
      <c r="Q6" s="69">
        <v>0</v>
      </c>
      <c r="R6" s="18">
        <v>0</v>
      </c>
    </row>
    <row r="7" spans="2:18">
      <c r="B7" s="18">
        <v>20</v>
      </c>
      <c r="C7" s="18">
        <v>10</v>
      </c>
      <c r="E7" s="18">
        <v>50000</v>
      </c>
      <c r="F7" s="18">
        <v>5</v>
      </c>
      <c r="H7" s="69">
        <v>0.25</v>
      </c>
      <c r="I7" s="18">
        <v>4</v>
      </c>
      <c r="K7" s="69">
        <v>0.15</v>
      </c>
      <c r="L7" s="18">
        <f>AVERAGE(L6,L8)</f>
        <v>9</v>
      </c>
      <c r="N7" s="18">
        <v>1</v>
      </c>
      <c r="O7" s="18">
        <v>4</v>
      </c>
      <c r="Q7" s="69">
        <v>0.33</v>
      </c>
      <c r="R7" s="18">
        <v>4</v>
      </c>
    </row>
    <row r="8" spans="2:18">
      <c r="B8" s="18">
        <v>26</v>
      </c>
      <c r="C8" s="18">
        <v>8</v>
      </c>
      <c r="E8" s="18">
        <v>100000</v>
      </c>
      <c r="F8" s="18">
        <v>6</v>
      </c>
      <c r="H8" s="69">
        <v>0.5</v>
      </c>
      <c r="I8" s="18">
        <v>6</v>
      </c>
      <c r="K8" s="69">
        <v>0.2</v>
      </c>
      <c r="L8" s="18">
        <v>8</v>
      </c>
      <c r="N8" s="18">
        <v>2</v>
      </c>
      <c r="O8" s="18">
        <v>3</v>
      </c>
      <c r="Q8" s="69">
        <v>0.5</v>
      </c>
      <c r="R8" s="18">
        <v>6</v>
      </c>
    </row>
    <row r="9" spans="2:18">
      <c r="B9" s="18">
        <f>B8+$C$4</f>
        <v>32</v>
      </c>
      <c r="C9" s="18">
        <v>7</v>
      </c>
      <c r="E9" s="18">
        <v>150000</v>
      </c>
      <c r="F9" s="18">
        <v>7</v>
      </c>
      <c r="H9" s="69">
        <f>3/4</f>
        <v>0.75</v>
      </c>
      <c r="I9" s="18">
        <v>8</v>
      </c>
      <c r="K9" s="69">
        <v>0.25</v>
      </c>
      <c r="L9" s="18">
        <v>7</v>
      </c>
      <c r="N9" s="18">
        <v>3</v>
      </c>
      <c r="O9" s="18">
        <v>2</v>
      </c>
      <c r="Q9" s="69">
        <f>3/4</f>
        <v>0.75</v>
      </c>
      <c r="R9" s="18">
        <v>8</v>
      </c>
    </row>
    <row r="10" spans="2:18">
      <c r="B10" s="18">
        <f t="shared" ref="B10:B13" si="0">B9+$C$4</f>
        <v>38</v>
      </c>
      <c r="C10" s="18">
        <v>6</v>
      </c>
      <c r="E10" s="18">
        <v>200000</v>
      </c>
      <c r="F10" s="18">
        <v>8</v>
      </c>
      <c r="H10" s="69">
        <v>1</v>
      </c>
      <c r="I10" s="18">
        <v>10</v>
      </c>
      <c r="K10" s="69">
        <v>0.3</v>
      </c>
      <c r="L10" s="18">
        <v>6</v>
      </c>
      <c r="N10" s="43"/>
      <c r="O10" s="43"/>
      <c r="Q10" s="69">
        <v>1</v>
      </c>
      <c r="R10" s="18">
        <v>10</v>
      </c>
    </row>
    <row r="11" spans="2:18">
      <c r="B11" s="18">
        <f t="shared" si="0"/>
        <v>44</v>
      </c>
      <c r="C11" s="18">
        <v>5</v>
      </c>
      <c r="E11" s="18">
        <v>250000</v>
      </c>
      <c r="F11" s="18">
        <v>9</v>
      </c>
      <c r="K11" s="69">
        <v>0.35</v>
      </c>
      <c r="L11" s="18">
        <v>5</v>
      </c>
      <c r="N11" s="266" t="s">
        <v>173</v>
      </c>
      <c r="O11" s="267"/>
    </row>
    <row r="12" spans="2:18">
      <c r="B12" s="18">
        <f t="shared" si="0"/>
        <v>50</v>
      </c>
      <c r="C12" s="18">
        <v>4</v>
      </c>
      <c r="E12" s="18" t="s">
        <v>143</v>
      </c>
      <c r="F12" s="18">
        <v>10</v>
      </c>
      <c r="H12" s="273" t="s">
        <v>163</v>
      </c>
      <c r="I12" s="273"/>
      <c r="K12" s="69">
        <v>0.4</v>
      </c>
      <c r="L12" s="18">
        <v>4</v>
      </c>
      <c r="N12" s="6" t="s">
        <v>45</v>
      </c>
      <c r="O12" s="6">
        <f>COUNT(O14:O20)</f>
        <v>4</v>
      </c>
    </row>
    <row r="13" spans="2:18">
      <c r="B13" s="18">
        <f t="shared" si="0"/>
        <v>56</v>
      </c>
      <c r="C13" s="18">
        <v>3</v>
      </c>
      <c r="E13" s="43"/>
      <c r="F13" s="43"/>
      <c r="H13" s="45" t="s">
        <v>164</v>
      </c>
      <c r="I13" s="77">
        <f>COUNT(F51:F56)</f>
        <v>0</v>
      </c>
      <c r="K13" s="69">
        <v>0.45</v>
      </c>
      <c r="L13" s="18">
        <v>3</v>
      </c>
      <c r="N13" s="6" t="s">
        <v>172</v>
      </c>
      <c r="O13" s="6" t="s">
        <v>43</v>
      </c>
    </row>
    <row r="14" spans="2:18">
      <c r="B14" s="18">
        <v>60</v>
      </c>
      <c r="C14" s="18">
        <v>2</v>
      </c>
      <c r="E14" s="283" t="s">
        <v>135</v>
      </c>
      <c r="F14" s="284"/>
      <c r="H14" s="6" t="s">
        <v>142</v>
      </c>
      <c r="I14" s="6" t="s">
        <v>43</v>
      </c>
      <c r="K14" s="69">
        <v>0.5</v>
      </c>
      <c r="L14" s="18">
        <v>2</v>
      </c>
      <c r="N14" s="18">
        <v>0</v>
      </c>
      <c r="O14" s="18">
        <v>5</v>
      </c>
    </row>
    <row r="15" spans="2:18">
      <c r="E15" s="45" t="s">
        <v>45</v>
      </c>
      <c r="F15" s="77">
        <f>COUNT(F17:F24)</f>
        <v>6</v>
      </c>
      <c r="H15" s="83">
        <v>0</v>
      </c>
      <c r="I15" s="18">
        <v>0</v>
      </c>
      <c r="N15" s="18" t="s">
        <v>176</v>
      </c>
      <c r="O15" s="18">
        <v>10</v>
      </c>
    </row>
    <row r="16" spans="2:18">
      <c r="B16" s="221" t="s">
        <v>44</v>
      </c>
      <c r="C16" s="222"/>
      <c r="E16" s="6" t="s">
        <v>136</v>
      </c>
      <c r="F16" s="6" t="s">
        <v>43</v>
      </c>
      <c r="H16" s="83">
        <v>1</v>
      </c>
      <c r="I16" s="18">
        <v>5</v>
      </c>
      <c r="K16" s="266" t="s">
        <v>177</v>
      </c>
      <c r="L16" s="267"/>
      <c r="N16" s="43"/>
      <c r="O16" s="43"/>
    </row>
    <row r="17" spans="2:15">
      <c r="B17" s="6" t="s">
        <v>45</v>
      </c>
      <c r="C17" s="46">
        <f>COUNT(C19:C26)</f>
        <v>8</v>
      </c>
      <c r="E17" s="18">
        <v>0</v>
      </c>
      <c r="F17" s="18">
        <v>10</v>
      </c>
      <c r="K17" s="6" t="s">
        <v>45</v>
      </c>
      <c r="L17" s="18">
        <v>10</v>
      </c>
      <c r="N17" s="266" t="s">
        <v>174</v>
      </c>
      <c r="O17" s="267"/>
    </row>
    <row r="18" spans="2:15">
      <c r="B18" s="40" t="s">
        <v>42</v>
      </c>
      <c r="C18" s="6" t="s">
        <v>43</v>
      </c>
      <c r="E18" s="18">
        <v>1</v>
      </c>
      <c r="F18" s="18">
        <v>8</v>
      </c>
      <c r="H18" s="266" t="s">
        <v>179</v>
      </c>
      <c r="I18" s="267"/>
      <c r="K18" s="6" t="s">
        <v>178</v>
      </c>
      <c r="L18" s="6" t="s">
        <v>43</v>
      </c>
      <c r="N18" s="6" t="s">
        <v>45</v>
      </c>
      <c r="O18" s="18">
        <v>10</v>
      </c>
    </row>
    <row r="19" spans="2:15">
      <c r="B19" s="18" t="s">
        <v>175</v>
      </c>
      <c r="C19" s="18">
        <v>2</v>
      </c>
      <c r="E19" s="18">
        <v>2</v>
      </c>
      <c r="F19" s="18">
        <v>6</v>
      </c>
      <c r="H19" s="6" t="s">
        <v>45</v>
      </c>
      <c r="I19" s="18">
        <v>5</v>
      </c>
      <c r="K19" s="18">
        <v>0</v>
      </c>
      <c r="L19" s="18">
        <v>5</v>
      </c>
      <c r="N19" s="6" t="s">
        <v>178</v>
      </c>
      <c r="O19" s="6" t="s">
        <v>43</v>
      </c>
    </row>
    <row r="20" spans="2:15">
      <c r="B20" s="18">
        <v>10000</v>
      </c>
      <c r="C20" s="18">
        <v>3</v>
      </c>
      <c r="E20" s="18">
        <v>3</v>
      </c>
      <c r="F20" s="18">
        <v>4</v>
      </c>
      <c r="H20" s="6" t="s">
        <v>178</v>
      </c>
      <c r="I20" s="6" t="s">
        <v>43</v>
      </c>
      <c r="K20" s="18" t="s">
        <v>176</v>
      </c>
      <c r="L20" s="18">
        <v>10</v>
      </c>
      <c r="N20" s="18">
        <v>0</v>
      </c>
      <c r="O20" s="18">
        <v>5</v>
      </c>
    </row>
    <row r="21" spans="2:15">
      <c r="B21" s="18">
        <v>12000</v>
      </c>
      <c r="C21" s="18">
        <v>4</v>
      </c>
      <c r="E21" s="18">
        <v>4</v>
      </c>
      <c r="F21" s="18">
        <v>2</v>
      </c>
      <c r="H21" s="18">
        <v>0</v>
      </c>
      <c r="I21" s="18">
        <v>6</v>
      </c>
      <c r="N21" s="18" t="s">
        <v>176</v>
      </c>
      <c r="O21" s="18">
        <v>10</v>
      </c>
    </row>
    <row r="22" spans="2:15">
      <c r="B22" s="18">
        <v>14000</v>
      </c>
      <c r="C22" s="18">
        <v>5</v>
      </c>
      <c r="E22" s="18">
        <v>5</v>
      </c>
      <c r="F22" s="18">
        <v>0</v>
      </c>
      <c r="H22" s="18" t="s">
        <v>180</v>
      </c>
      <c r="I22" s="18">
        <v>5</v>
      </c>
      <c r="K22" s="282"/>
      <c r="L22" s="282"/>
    </row>
    <row r="23" spans="2:15">
      <c r="B23" s="18">
        <v>16000</v>
      </c>
      <c r="C23" s="18">
        <v>6</v>
      </c>
      <c r="H23" s="18" t="s">
        <v>185</v>
      </c>
      <c r="I23" s="18">
        <v>4</v>
      </c>
    </row>
    <row r="24" spans="2:15">
      <c r="B24" s="18">
        <v>18000</v>
      </c>
      <c r="C24" s="18">
        <v>7</v>
      </c>
      <c r="H24" s="18" t="s">
        <v>184</v>
      </c>
      <c r="I24" s="18">
        <v>3</v>
      </c>
    </row>
    <row r="25" spans="2:15">
      <c r="B25" s="18">
        <v>12000</v>
      </c>
      <c r="C25" s="18">
        <v>8</v>
      </c>
      <c r="H25" s="18" t="s">
        <v>181</v>
      </c>
      <c r="I25" s="18">
        <v>2</v>
      </c>
    </row>
    <row r="26" spans="2:15">
      <c r="B26" s="18">
        <v>20000</v>
      </c>
      <c r="C26" s="18">
        <v>9</v>
      </c>
      <c r="H26" s="18" t="s">
        <v>182</v>
      </c>
      <c r="I26" s="18">
        <v>1</v>
      </c>
    </row>
    <row r="29" spans="2:15">
      <c r="B29" s="13"/>
    </row>
    <row r="52" spans="5:6">
      <c r="E52" s="102"/>
      <c r="F52" s="43"/>
    </row>
  </sheetData>
  <mergeCells count="14">
    <mergeCell ref="K22:L22"/>
    <mergeCell ref="B3:C3"/>
    <mergeCell ref="E14:F14"/>
    <mergeCell ref="Q3:R3"/>
    <mergeCell ref="N17:O17"/>
    <mergeCell ref="H18:I18"/>
    <mergeCell ref="K16:L16"/>
    <mergeCell ref="N3:O3"/>
    <mergeCell ref="B16:C16"/>
    <mergeCell ref="E3:F3"/>
    <mergeCell ref="K3:L3"/>
    <mergeCell ref="H3:I3"/>
    <mergeCell ref="H12:I12"/>
    <mergeCell ref="N11:O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6F08B-7A31-4DC7-9620-3415CF279A76}">
  <sheetPr codeName="Sheet7">
    <tabColor theme="8" tint="0.39997558519241921"/>
  </sheetPr>
  <dimension ref="B2:R89"/>
  <sheetViews>
    <sheetView showGridLines="0" topLeftCell="A56" zoomScale="68" zoomScaleNormal="85" workbookViewId="0">
      <selection activeCell="K58" sqref="K58"/>
    </sheetView>
  </sheetViews>
  <sheetFormatPr defaultRowHeight="15"/>
  <cols>
    <col min="2" max="2" width="28.42578125" bestFit="1" customWidth="1"/>
    <col min="3" max="3" width="19" bestFit="1" customWidth="1"/>
    <col min="4" max="4" width="11.42578125" bestFit="1" customWidth="1"/>
    <col min="5" max="5" width="32.85546875" bestFit="1" customWidth="1"/>
    <col min="6" max="6" width="19.5703125" bestFit="1" customWidth="1"/>
    <col min="7" max="7" width="24.42578125" customWidth="1"/>
    <col min="8" max="8" width="34.42578125" bestFit="1" customWidth="1"/>
    <col min="9" max="9" width="29.7109375" bestFit="1" customWidth="1"/>
    <col min="10" max="10" width="24.5703125" bestFit="1" customWidth="1"/>
    <col min="11" max="11" width="28.42578125" bestFit="1" customWidth="1"/>
    <col min="12" max="12" width="2.85546875" customWidth="1"/>
    <col min="13" max="13" width="21.85546875" bestFit="1" customWidth="1"/>
    <col min="14" max="14" width="17.28515625" bestFit="1" customWidth="1"/>
    <col min="15" max="15" width="12.42578125" customWidth="1"/>
    <col min="16" max="16" width="36" bestFit="1" customWidth="1"/>
    <col min="17" max="17" width="7.7109375" bestFit="1" customWidth="1"/>
    <col min="18" max="18" width="9.5703125" bestFit="1" customWidth="1"/>
  </cols>
  <sheetData>
    <row r="2" spans="2:18" ht="18.75" customHeight="1">
      <c r="B2" s="269" t="s">
        <v>256</v>
      </c>
      <c r="C2" s="269"/>
      <c r="D2" s="269"/>
      <c r="E2" s="269"/>
      <c r="F2" s="269"/>
      <c r="G2" s="269"/>
      <c r="H2" s="269"/>
      <c r="I2" s="269"/>
      <c r="J2" s="269"/>
      <c r="K2" s="269"/>
      <c r="M2" s="177" t="s">
        <v>40</v>
      </c>
    </row>
    <row r="3" spans="2:18" ht="18.75" customHeight="1"/>
    <row r="4" spans="2:18" ht="15.75">
      <c r="B4" s="2" t="s">
        <v>28</v>
      </c>
      <c r="C4" s="25">
        <f ca="1">TODAY()</f>
        <v>45607</v>
      </c>
      <c r="D4" s="31"/>
      <c r="E4" s="2" t="s">
        <v>32</v>
      </c>
      <c r="F4" s="41">
        <f>INPUT!F12</f>
        <v>50</v>
      </c>
      <c r="G4" s="31"/>
      <c r="H4" s="31"/>
      <c r="I4" s="31"/>
      <c r="J4" s="31"/>
      <c r="K4" s="32"/>
      <c r="M4" s="6" t="s">
        <v>41</v>
      </c>
      <c r="N4" s="42">
        <v>6</v>
      </c>
      <c r="P4" s="259" t="s">
        <v>166</v>
      </c>
      <c r="Q4" s="260"/>
      <c r="R4" s="261"/>
    </row>
    <row r="5" spans="2:18">
      <c r="B5" s="27"/>
      <c r="H5" s="20" t="s">
        <v>49</v>
      </c>
      <c r="I5" s="47">
        <f>INPUT!F19</f>
        <v>100000</v>
      </c>
      <c r="K5" s="28"/>
      <c r="M5" s="45" t="s">
        <v>45</v>
      </c>
      <c r="N5" s="46">
        <f>COUNT(N7:N15)</f>
        <v>9</v>
      </c>
      <c r="P5" s="95" t="s">
        <v>105</v>
      </c>
      <c r="Q5" s="87"/>
      <c r="R5" s="88"/>
    </row>
    <row r="6" spans="2:18">
      <c r="B6" s="2" t="s">
        <v>25</v>
      </c>
      <c r="C6" s="8" t="s">
        <v>27</v>
      </c>
      <c r="E6" s="2" t="s">
        <v>34</v>
      </c>
      <c r="F6" s="33">
        <v>725</v>
      </c>
      <c r="K6" s="28"/>
      <c r="M6" s="40" t="s">
        <v>42</v>
      </c>
      <c r="N6" s="6" t="s">
        <v>43</v>
      </c>
      <c r="P6" s="84" t="s">
        <v>89</v>
      </c>
      <c r="Q6" s="84" t="s">
        <v>43</v>
      </c>
      <c r="R6" s="84" t="s">
        <v>190</v>
      </c>
    </row>
    <row r="7" spans="2:18">
      <c r="B7" s="2" t="s">
        <v>26</v>
      </c>
      <c r="C7" s="62">
        <f>INPUT!F6</f>
        <v>37448</v>
      </c>
      <c r="E7" s="204" t="s">
        <v>35</v>
      </c>
      <c r="F7" s="205">
        <f ca="1">IFERROR(Q13+Q25,0)</f>
        <v>56</v>
      </c>
      <c r="G7" s="58">
        <f>R13+R25</f>
        <v>110</v>
      </c>
      <c r="H7" s="19" t="s">
        <v>46</v>
      </c>
      <c r="I7" s="18" t="str">
        <f ca="1">IFERROR(IF(F7/G7&gt;0.7,Backend!K36,Backend!K37),0)</f>
        <v>Below average score</v>
      </c>
      <c r="K7" s="28"/>
      <c r="M7" s="18">
        <v>0</v>
      </c>
      <c r="N7" s="18">
        <v>0</v>
      </c>
      <c r="P7" s="90" t="s">
        <v>96</v>
      </c>
      <c r="Q7" s="85">
        <f ca="1">IFERROR(IF($C$8&lt;20,0,VLOOKUP($C$8,M8:N15,2,TRUE)),0)</f>
        <v>10</v>
      </c>
      <c r="R7" s="91">
        <f>N8</f>
        <v>10</v>
      </c>
    </row>
    <row r="8" spans="2:18">
      <c r="B8" s="2" t="s">
        <v>24</v>
      </c>
      <c r="C8" s="44">
        <f ca="1">IF(C7=0,0,(C4-C7)/365)</f>
        <v>22.353424657534248</v>
      </c>
      <c r="E8" s="59" t="s">
        <v>100</v>
      </c>
      <c r="F8" s="21">
        <f ca="1">IFERROR(F7/G7,0)</f>
        <v>0.50909090909090904</v>
      </c>
      <c r="H8" s="6" t="s">
        <v>118</v>
      </c>
      <c r="I8" s="6" t="str">
        <f ca="1">E81</f>
        <v>F</v>
      </c>
      <c r="K8" s="28"/>
      <c r="M8" s="18">
        <v>20</v>
      </c>
      <c r="N8" s="18">
        <v>10</v>
      </c>
      <c r="P8" s="90" t="s">
        <v>67</v>
      </c>
      <c r="Q8" s="85">
        <f>IFERROR(IF($C$9&lt;1,0,VLOOKUP(C9,B40:E48,4,TRUE)),0)</f>
        <v>4</v>
      </c>
      <c r="R8" s="91">
        <f>E48</f>
        <v>9</v>
      </c>
    </row>
    <row r="9" spans="2:18">
      <c r="B9" s="2" t="s">
        <v>68</v>
      </c>
      <c r="C9" s="56">
        <f>INPUT!F11</f>
        <v>5</v>
      </c>
      <c r="D9" s="29"/>
      <c r="E9" s="29"/>
      <c r="F9" s="29"/>
      <c r="G9" s="29"/>
      <c r="H9" s="29"/>
      <c r="I9" s="29"/>
      <c r="J9" s="29"/>
      <c r="K9" s="30"/>
      <c r="M9" s="18">
        <v>26</v>
      </c>
      <c r="N9" s="18">
        <v>8</v>
      </c>
      <c r="P9" s="90" t="s">
        <v>90</v>
      </c>
      <c r="Q9" s="89">
        <f>IFERROR(IF($C$11&gt;5,0,VLOOKUP($C$11,$M$53:$N$58,2,FALSE)),0)</f>
        <v>8</v>
      </c>
      <c r="R9" s="91">
        <f>N51</f>
        <v>6</v>
      </c>
    </row>
    <row r="10" spans="2:18">
      <c r="M10" s="18">
        <f>M9+$N$4</f>
        <v>32</v>
      </c>
      <c r="N10" s="18">
        <v>7</v>
      </c>
      <c r="P10" s="90" t="s">
        <v>165</v>
      </c>
      <c r="Q10" s="89">
        <f>IFERROR(IF($F$11&gt;0,5,0),0)</f>
        <v>5</v>
      </c>
      <c r="R10" s="91">
        <f>N86</f>
        <v>5</v>
      </c>
    </row>
    <row r="11" spans="2:18">
      <c r="B11" s="2" t="s">
        <v>102</v>
      </c>
      <c r="C11" s="56">
        <f>INPUT!F20</f>
        <v>1</v>
      </c>
      <c r="E11" s="41" t="s">
        <v>257</v>
      </c>
      <c r="F11" s="9" t="str">
        <f>INPUT!F21</f>
        <v>More Than 1</v>
      </c>
      <c r="M11" s="18">
        <f>M10+$N$4</f>
        <v>38</v>
      </c>
      <c r="N11" s="18">
        <v>6</v>
      </c>
      <c r="P11" s="92" t="s">
        <v>173</v>
      </c>
      <c r="Q11" s="89" cm="1">
        <f t="array" ref="Q11">IFERROR(_xlfn.IFS(J74=P54,Q54,J75=P55,Q55),0)</f>
        <v>0</v>
      </c>
      <c r="R11" s="91">
        <v>10</v>
      </c>
    </row>
    <row r="12" spans="2:18">
      <c r="H12" s="1" t="s">
        <v>171</v>
      </c>
      <c r="I12" s="18">
        <f>INPUT!F35</f>
        <v>1</v>
      </c>
      <c r="M12" s="18">
        <f>M11+$N$4</f>
        <v>44</v>
      </c>
      <c r="N12" s="18">
        <v>5</v>
      </c>
      <c r="P12" s="92" t="s">
        <v>174</v>
      </c>
      <c r="Q12" s="89" cm="1">
        <f t="array" ref="Q12">IFERROR(_xlfn.IFS(J75=P54,Q54),10)</f>
        <v>5</v>
      </c>
      <c r="R12" s="91">
        <v>10</v>
      </c>
    </row>
    <row r="13" spans="2:18" ht="18.75" customHeight="1">
      <c r="B13" s="270" t="s">
        <v>130</v>
      </c>
      <c r="C13" s="270"/>
      <c r="D13" s="270"/>
      <c r="E13" s="270"/>
      <c r="F13" s="270"/>
      <c r="G13" s="270"/>
      <c r="H13" s="270"/>
      <c r="I13" s="270"/>
      <c r="J13" s="270"/>
      <c r="K13" s="270"/>
      <c r="M13" s="18">
        <f>M12+$N$4</f>
        <v>50</v>
      </c>
      <c r="N13" s="18">
        <v>4</v>
      </c>
      <c r="P13" s="93" t="s">
        <v>92</v>
      </c>
      <c r="Q13" s="86">
        <f ca="1">SUM(Q7:Q12)</f>
        <v>32</v>
      </c>
      <c r="R13" s="94">
        <f>SUM(R7:R12)</f>
        <v>50</v>
      </c>
    </row>
    <row r="14" spans="2:18">
      <c r="M14" s="18">
        <f>M13+$N$4</f>
        <v>56</v>
      </c>
      <c r="N14" s="18">
        <v>3</v>
      </c>
      <c r="P14" s="100"/>
      <c r="Q14" s="100"/>
      <c r="R14" s="100"/>
    </row>
    <row r="15" spans="2:18">
      <c r="B15" s="7" t="s">
        <v>8</v>
      </c>
      <c r="C15" s="6" t="s">
        <v>9</v>
      </c>
      <c r="D15" s="31"/>
      <c r="E15" s="277" t="s">
        <v>31</v>
      </c>
      <c r="F15" s="278"/>
      <c r="G15" s="48"/>
      <c r="H15" s="31"/>
      <c r="I15" s="31"/>
      <c r="J15" s="31"/>
      <c r="K15" s="32"/>
      <c r="M15" s="18">
        <v>60</v>
      </c>
      <c r="N15" s="18">
        <v>2</v>
      </c>
      <c r="P15" s="262" t="s">
        <v>91</v>
      </c>
      <c r="Q15" s="263"/>
      <c r="R15" s="264"/>
    </row>
    <row r="16" spans="2:18">
      <c r="B16" s="35" t="s">
        <v>2</v>
      </c>
      <c r="C16" s="36">
        <f>INPUT!F26</f>
        <v>12000</v>
      </c>
      <c r="E16" s="2" t="s">
        <v>36</v>
      </c>
      <c r="F16" s="21">
        <f>$C$18/$C$19</f>
        <v>0.48</v>
      </c>
      <c r="G16" s="26" t="s">
        <v>29</v>
      </c>
      <c r="H16" s="279" t="s">
        <v>50</v>
      </c>
      <c r="I16" s="280"/>
      <c r="J16" s="280"/>
      <c r="K16" s="281"/>
      <c r="P16" s="96" t="s">
        <v>89</v>
      </c>
      <c r="Q16" s="96" t="s">
        <v>43</v>
      </c>
      <c r="R16" s="96" t="s">
        <v>106</v>
      </c>
    </row>
    <row r="17" spans="2:18">
      <c r="B17" s="35" t="s">
        <v>3</v>
      </c>
      <c r="C17" s="37">
        <f>INPUT!F27</f>
        <v>0.4</v>
      </c>
      <c r="E17" s="2" t="s">
        <v>37</v>
      </c>
      <c r="F17" s="21">
        <f>$C$18/C20</f>
        <v>9.6000000000000002E-2</v>
      </c>
      <c r="G17" s="26" t="s">
        <v>21</v>
      </c>
      <c r="H17" s="6" t="s">
        <v>16</v>
      </c>
      <c r="I17" s="6" t="s">
        <v>39</v>
      </c>
      <c r="J17" s="6" t="s">
        <v>17</v>
      </c>
      <c r="K17" s="6" t="s">
        <v>95</v>
      </c>
      <c r="M17" s="221" t="s">
        <v>44</v>
      </c>
      <c r="N17" s="222"/>
      <c r="P17" s="105" t="s">
        <v>2</v>
      </c>
      <c r="Q17" s="106">
        <f>IFERROR(IF($C$16&lt;=5000,2,VLOOKUP($C$16,M20:N27,2,TRUE)),0)</f>
        <v>4</v>
      </c>
      <c r="R17" s="107">
        <v>9</v>
      </c>
    </row>
    <row r="18" spans="2:18">
      <c r="B18" s="2" t="s">
        <v>7</v>
      </c>
      <c r="C18" s="2">
        <f>$C$16*$C$17</f>
        <v>4800</v>
      </c>
      <c r="E18" s="2" t="s">
        <v>38</v>
      </c>
      <c r="F18" s="21">
        <f>C26/C16</f>
        <v>8.3333333333333332E-3</v>
      </c>
      <c r="G18" s="26" t="s">
        <v>162</v>
      </c>
      <c r="H18" s="6">
        <f>B31</f>
        <v>54</v>
      </c>
      <c r="I18" s="6" t="str">
        <f>IF($I$5&gt;C31,$H$23,$H$24)</f>
        <v>Reject the proposal</v>
      </c>
      <c r="J18" s="80">
        <f>$I$5-C31</f>
        <v>39000</v>
      </c>
      <c r="K18" s="6" t="str">
        <f>+IF($F$21=0%,$I$25,IF(C31&gt;((1+$F$21)*$I$5),$I$23,$I$24))</f>
        <v>NO</v>
      </c>
      <c r="M18" s="45" t="s">
        <v>45</v>
      </c>
      <c r="N18" s="46">
        <f>COUNT(N20:N27)</f>
        <v>8</v>
      </c>
      <c r="P18" s="105" t="s">
        <v>10</v>
      </c>
      <c r="Q18" s="106">
        <f>IFERROR(IF(C19&lt;5000,0,VLOOKUP($C$19,M40:N46,2,TRUE)),0)</f>
        <v>0</v>
      </c>
      <c r="R18" s="107">
        <f>N46</f>
        <v>10</v>
      </c>
    </row>
    <row r="19" spans="2:18">
      <c r="B19" s="35" t="s">
        <v>10</v>
      </c>
      <c r="C19" s="36">
        <f>INPUT!F33</f>
        <v>10000</v>
      </c>
      <c r="E19" s="2" t="s">
        <v>189</v>
      </c>
      <c r="F19" s="21">
        <f>C24/C16</f>
        <v>0.23333333333333334</v>
      </c>
      <c r="G19" s="26"/>
      <c r="H19" s="6">
        <f>B32</f>
        <v>75</v>
      </c>
      <c r="I19" s="6" t="str">
        <f>IF($I$5&gt;C32,$H$23,$H$24)</f>
        <v>Reject the proposal</v>
      </c>
      <c r="J19" s="81">
        <f>$I$5-C32</f>
        <v>19000</v>
      </c>
      <c r="K19" s="6" t="str">
        <f>+IF($F$21=0%,$I$25,IF(C32&gt;((1+$F$21)*$I$5),$I$23,$I$24))</f>
        <v>NO</v>
      </c>
      <c r="M19" s="40" t="s">
        <v>42</v>
      </c>
      <c r="N19" s="6" t="s">
        <v>43</v>
      </c>
      <c r="P19" s="105" t="s">
        <v>144</v>
      </c>
      <c r="Q19" s="106">
        <f>IFERROR(IF(C62&gt;0.5,0,VLOOKUP($C$62,M63:N71,2,TRUE)),0)</f>
        <v>0</v>
      </c>
      <c r="R19" s="107">
        <v>10</v>
      </c>
    </row>
    <row r="20" spans="2:18">
      <c r="B20" s="35" t="s">
        <v>11</v>
      </c>
      <c r="C20" s="36">
        <f>INPUT!F28</f>
        <v>50000</v>
      </c>
      <c r="G20" s="26" t="s">
        <v>22</v>
      </c>
      <c r="H20" s="6">
        <f>B33</f>
        <v>104</v>
      </c>
      <c r="I20" s="6" t="str">
        <f>IF($I$5&gt;C33,$H$23,$H$24)</f>
        <v>Accept the proposal</v>
      </c>
      <c r="J20" s="34">
        <f>$I$5-C33</f>
        <v>-4000</v>
      </c>
      <c r="K20" s="6" t="str">
        <f>IF($F$21=0%,$I$25,IF(C33&gt;((1+$F$21)*$I$5),$I$23,$I$24))</f>
        <v>NO</v>
      </c>
      <c r="M20" s="18" t="s">
        <v>175</v>
      </c>
      <c r="N20" s="18">
        <v>2</v>
      </c>
      <c r="P20" s="105" t="s">
        <v>140</v>
      </c>
      <c r="Q20" s="106">
        <f>IFERROR(IF($I$31&lt;$M$77,0,VLOOKUP($I$31,M76:N80,2,TRUE)),0)</f>
        <v>6</v>
      </c>
      <c r="R20" s="107">
        <v>10</v>
      </c>
    </row>
    <row r="21" spans="2:18">
      <c r="B21" s="27"/>
      <c r="E21" s="64" t="s">
        <v>94</v>
      </c>
      <c r="F21" s="63">
        <f>INPUT!F37</f>
        <v>0.5</v>
      </c>
      <c r="H21" s="6">
        <f>B34</f>
        <v>156</v>
      </c>
      <c r="I21" s="6" t="str">
        <f>IF($I$5&gt;C34,$H$23,$H$24)</f>
        <v>Accept the proposal</v>
      </c>
      <c r="J21" s="34">
        <f>$I$5-C34</f>
        <v>-38000</v>
      </c>
      <c r="K21" s="6" t="str">
        <f>IF($F$21=0%,$I$25,IF(C34&gt;((1+$F$21)*$I$5),$I$23,$I$24))</f>
        <v>NO</v>
      </c>
      <c r="M21" s="18">
        <v>10000</v>
      </c>
      <c r="N21" s="18">
        <v>3</v>
      </c>
      <c r="P21" s="105" t="s">
        <v>171</v>
      </c>
      <c r="Q21" s="106">
        <f>IFERROR(IF($I$12&gt;4,1,VLOOKUP($I$12,P40:Q43,2,TRUE)),0)</f>
        <v>4</v>
      </c>
      <c r="R21" s="107">
        <f>Q40</f>
        <v>5</v>
      </c>
    </row>
    <row r="22" spans="2:18">
      <c r="B22" s="27"/>
      <c r="K22" s="28"/>
      <c r="M22" s="18">
        <v>12000</v>
      </c>
      <c r="N22" s="18">
        <v>4</v>
      </c>
      <c r="P22" s="105" t="s">
        <v>179</v>
      </c>
      <c r="Q22" s="106">
        <f>IFERROR(IF($I$12&gt;4,0,VLOOKUP($I$12,P41:Q44,2,TRUE)),0)</f>
        <v>4</v>
      </c>
      <c r="R22" s="107">
        <f>Q66</f>
        <v>6</v>
      </c>
    </row>
    <row r="23" spans="2:18">
      <c r="B23" s="35" t="s">
        <v>4</v>
      </c>
      <c r="C23" s="36">
        <f>INPUT!F30</f>
        <v>2000</v>
      </c>
      <c r="H23" s="22" t="s">
        <v>14</v>
      </c>
      <c r="I23" s="3" t="s">
        <v>18</v>
      </c>
      <c r="K23" s="28"/>
      <c r="M23" s="18">
        <v>14000</v>
      </c>
      <c r="N23" s="18">
        <v>5</v>
      </c>
      <c r="P23" s="105" t="s">
        <v>230</v>
      </c>
      <c r="Q23" s="106">
        <f>IFERROR(IF($I$31&gt;75%,10,VLOOKUP(I31,M76:N80,2,TRUE)),0)</f>
        <v>6</v>
      </c>
      <c r="R23" s="107">
        <v>10</v>
      </c>
    </row>
    <row r="24" spans="2:18" ht="15.75" thickBot="1">
      <c r="B24" s="1" t="s">
        <v>5</v>
      </c>
      <c r="C24" s="1">
        <f>$C$18-$C$23</f>
        <v>2800</v>
      </c>
      <c r="H24" s="3" t="s">
        <v>15</v>
      </c>
      <c r="I24" s="23" t="s">
        <v>131</v>
      </c>
      <c r="K24" s="28"/>
      <c r="M24" s="18">
        <v>16000</v>
      </c>
      <c r="N24" s="18">
        <v>6</v>
      </c>
      <c r="P24" s="105"/>
      <c r="Q24" s="106"/>
      <c r="R24" s="107"/>
    </row>
    <row r="25" spans="2:18" ht="15.75" thickBot="1">
      <c r="B25" s="1" t="s">
        <v>6</v>
      </c>
      <c r="C25" s="1">
        <f>$C$24/2</f>
        <v>1400</v>
      </c>
      <c r="E25" s="67" t="s">
        <v>69</v>
      </c>
      <c r="F25" s="271" t="s">
        <v>87</v>
      </c>
      <c r="G25" s="272"/>
      <c r="I25" s="60" t="s">
        <v>93</v>
      </c>
      <c r="K25" s="28"/>
      <c r="M25" s="18">
        <v>18000</v>
      </c>
      <c r="N25" s="18">
        <v>7</v>
      </c>
      <c r="P25" s="97" t="s">
        <v>92</v>
      </c>
      <c r="Q25" s="98">
        <f>IFERROR(SUM($Q$17:$Q$24),0)</f>
        <v>24</v>
      </c>
      <c r="R25" s="99">
        <f>IFERROR(SUM($R$17:$R$24),0)</f>
        <v>60</v>
      </c>
    </row>
    <row r="26" spans="2:18">
      <c r="B26" s="38" t="s">
        <v>103</v>
      </c>
      <c r="C26" s="39">
        <f>INPUT!F31</f>
        <v>100</v>
      </c>
      <c r="E26" s="65" t="s">
        <v>70</v>
      </c>
      <c r="F26" s="255" t="s">
        <v>79</v>
      </c>
      <c r="G26" s="256"/>
      <c r="K26" s="28"/>
      <c r="M26" s="18">
        <v>12000</v>
      </c>
      <c r="N26" s="18">
        <v>8</v>
      </c>
    </row>
    <row r="27" spans="2:18">
      <c r="B27" s="2" t="s">
        <v>104</v>
      </c>
      <c r="C27" s="2">
        <f>C25-C26</f>
        <v>1300</v>
      </c>
      <c r="E27" s="65" t="s">
        <v>71</v>
      </c>
      <c r="F27" s="255" t="s">
        <v>80</v>
      </c>
      <c r="G27" s="256"/>
      <c r="H27" s="9"/>
      <c r="I27" s="6" t="s">
        <v>33</v>
      </c>
      <c r="K27" s="28"/>
      <c r="M27" s="18">
        <v>20000</v>
      </c>
      <c r="N27" s="18">
        <v>9</v>
      </c>
    </row>
    <row r="28" spans="2:18">
      <c r="B28" s="27"/>
      <c r="E28" s="65" t="s">
        <v>72</v>
      </c>
      <c r="F28" s="255" t="s">
        <v>81</v>
      </c>
      <c r="G28" s="256"/>
      <c r="K28" s="28"/>
      <c r="M28" s="43"/>
      <c r="N28" s="43"/>
    </row>
    <row r="29" spans="2:18">
      <c r="B29" s="27"/>
      <c r="E29" s="65" t="s">
        <v>73</v>
      </c>
      <c r="F29" s="255" t="s">
        <v>0</v>
      </c>
      <c r="G29" s="256"/>
      <c r="H29" s="1">
        <f>COUNTIF(I18:I21,H24)</f>
        <v>2</v>
      </c>
      <c r="I29" s="18" t="s">
        <v>145</v>
      </c>
      <c r="K29" s="28"/>
      <c r="M29" s="268"/>
      <c r="N29" s="268"/>
      <c r="O29" s="268"/>
      <c r="P29" s="6" t="s">
        <v>151</v>
      </c>
      <c r="Q29" s="12">
        <v>0</v>
      </c>
    </row>
    <row r="30" spans="2:18">
      <c r="B30" s="20" t="s">
        <v>16</v>
      </c>
      <c r="C30" s="20" t="s">
        <v>19</v>
      </c>
      <c r="E30" s="65" t="s">
        <v>74</v>
      </c>
      <c r="F30" s="255" t="s">
        <v>82</v>
      </c>
      <c r="G30" s="256"/>
      <c r="H30" s="1">
        <f>COUNTIF(I18:I21,H23)</f>
        <v>2</v>
      </c>
      <c r="I30" s="18" t="s">
        <v>146</v>
      </c>
      <c r="K30" s="28"/>
      <c r="M30" s="74">
        <v>0.95</v>
      </c>
      <c r="N30" s="104" t="s">
        <v>61</v>
      </c>
      <c r="O30" s="6" t="s">
        <v>113</v>
      </c>
      <c r="P30" s="6" t="s">
        <v>113</v>
      </c>
      <c r="Q30" s="4">
        <v>0.75</v>
      </c>
    </row>
    <row r="31" spans="2:18">
      <c r="B31" s="18">
        <v>54</v>
      </c>
      <c r="C31" s="24">
        <f>ROUNDUP(-PV(28%/365*7,B31,$C$27,0),-3)</f>
        <v>61000</v>
      </c>
      <c r="E31" s="65" t="s">
        <v>75</v>
      </c>
      <c r="F31" s="255" t="s">
        <v>83</v>
      </c>
      <c r="G31" s="256"/>
      <c r="H31" s="6" t="s">
        <v>149</v>
      </c>
      <c r="I31" s="74">
        <f>$H$29/4</f>
        <v>0.5</v>
      </c>
      <c r="K31" s="28"/>
      <c r="M31" s="74">
        <v>0.9</v>
      </c>
      <c r="N31" s="6" t="s">
        <v>60</v>
      </c>
      <c r="O31" s="6" t="s">
        <v>114</v>
      </c>
      <c r="P31" s="6" t="s">
        <v>114</v>
      </c>
      <c r="Q31" s="4">
        <v>0.5</v>
      </c>
    </row>
    <row r="32" spans="2:18">
      <c r="B32" s="18">
        <v>75</v>
      </c>
      <c r="C32" s="24">
        <f>ROUNDUP(-PV(28%/365*7,B32,$C$27,0),-3)</f>
        <v>81000</v>
      </c>
      <c r="E32" s="65" t="s">
        <v>76</v>
      </c>
      <c r="F32" s="255" t="s">
        <v>84</v>
      </c>
      <c r="G32" s="256"/>
      <c r="H32" s="18" t="s">
        <v>168</v>
      </c>
      <c r="I32" s="69">
        <f>1-I31</f>
        <v>0.5</v>
      </c>
      <c r="K32" s="28"/>
      <c r="M32" s="74">
        <v>0.8</v>
      </c>
      <c r="N32" s="6" t="s">
        <v>62</v>
      </c>
      <c r="O32" s="6" t="s">
        <v>115</v>
      </c>
      <c r="P32" s="6" t="s">
        <v>117</v>
      </c>
      <c r="Q32" s="4">
        <v>0.33</v>
      </c>
    </row>
    <row r="33" spans="2:17">
      <c r="B33" s="18">
        <v>104</v>
      </c>
      <c r="C33" s="24">
        <f>ROUNDUP(-PV(28%/365*7,B33,$C$27,0),-3)</f>
        <v>104000</v>
      </c>
      <c r="E33" s="65" t="s">
        <v>77</v>
      </c>
      <c r="F33" s="255" t="s">
        <v>85</v>
      </c>
      <c r="G33" s="256"/>
      <c r="K33" s="28"/>
      <c r="M33" s="74">
        <v>0.75</v>
      </c>
      <c r="N33" s="6" t="s">
        <v>63</v>
      </c>
      <c r="O33" s="6" t="s">
        <v>116</v>
      </c>
      <c r="P33" s="6" t="s">
        <v>152</v>
      </c>
      <c r="Q33" s="69">
        <v>0.5</v>
      </c>
    </row>
    <row r="34" spans="2:17" ht="15.75" thickBot="1">
      <c r="B34" s="18">
        <v>156</v>
      </c>
      <c r="C34" s="24">
        <f>ROUNDUP(-PV(28%/365*7,B34,$C$27,0),-3)</f>
        <v>138000</v>
      </c>
      <c r="D34" s="29"/>
      <c r="E34" s="66" t="s">
        <v>78</v>
      </c>
      <c r="F34" s="257" t="s">
        <v>86</v>
      </c>
      <c r="G34" s="258"/>
      <c r="H34" s="73"/>
      <c r="I34" s="29"/>
      <c r="J34" s="29"/>
      <c r="K34" s="30"/>
      <c r="M34" s="74">
        <v>0.5</v>
      </c>
      <c r="N34" s="104" t="s">
        <v>64</v>
      </c>
      <c r="O34" s="6" t="s">
        <v>117</v>
      </c>
      <c r="P34" s="6" t="s">
        <v>153</v>
      </c>
      <c r="Q34" s="18" t="s">
        <v>154</v>
      </c>
    </row>
    <row r="36" spans="2:17">
      <c r="B36" s="54" t="s">
        <v>51</v>
      </c>
      <c r="J36" s="18" t="s">
        <v>132</v>
      </c>
      <c r="K36" s="18" t="s">
        <v>47</v>
      </c>
    </row>
    <row r="37" spans="2:17">
      <c r="B37" s="10" t="s">
        <v>52</v>
      </c>
      <c r="C37" t="s">
        <v>58</v>
      </c>
      <c r="J37" s="18" t="s">
        <v>62</v>
      </c>
      <c r="K37" s="18" t="s">
        <v>48</v>
      </c>
      <c r="M37" s="221" t="s">
        <v>98</v>
      </c>
      <c r="N37" s="222"/>
      <c r="P37" s="265" t="s">
        <v>171</v>
      </c>
      <c r="Q37" s="265"/>
    </row>
    <row r="38" spans="2:17">
      <c r="B38" s="6" t="s">
        <v>67</v>
      </c>
      <c r="C38" s="2" t="s">
        <v>54</v>
      </c>
      <c r="D38" s="2" t="s">
        <v>55</v>
      </c>
      <c r="E38" s="6" t="s">
        <v>59</v>
      </c>
      <c r="J38" s="18" t="s">
        <v>133</v>
      </c>
      <c r="K38" s="18" t="s">
        <v>119</v>
      </c>
      <c r="M38" s="45" t="s">
        <v>45</v>
      </c>
      <c r="N38" s="6">
        <f>COUNT(N40:N46)</f>
        <v>7</v>
      </c>
      <c r="P38" s="6" t="s">
        <v>45</v>
      </c>
      <c r="Q38" s="6">
        <f>COUNT(Q40:Q45)</f>
        <v>4</v>
      </c>
    </row>
    <row r="39" spans="2:17">
      <c r="B39" s="18">
        <v>1</v>
      </c>
      <c r="C39" s="50">
        <v>7.4999999999999997E-2</v>
      </c>
      <c r="D39" s="50">
        <f>($D$50*B39)+$D$51</f>
        <v>7.1181818181818179E-2</v>
      </c>
      <c r="E39" s="18">
        <v>0</v>
      </c>
      <c r="M39" s="40" t="s">
        <v>97</v>
      </c>
      <c r="N39" s="55" t="s">
        <v>43</v>
      </c>
      <c r="P39" s="6" t="s">
        <v>172</v>
      </c>
      <c r="Q39" s="6" t="s">
        <v>43</v>
      </c>
    </row>
    <row r="40" spans="2:17">
      <c r="B40" s="18">
        <v>2</v>
      </c>
      <c r="C40" s="50">
        <v>0.06</v>
      </c>
      <c r="D40" s="50">
        <f t="shared" ref="D40:D48" si="0">($D$50*B40)+$D$51</f>
        <v>6.3696969696969696E-2</v>
      </c>
      <c r="E40" s="18">
        <v>1</v>
      </c>
      <c r="J40" s="1">
        <f>COUNTIF($I$18:$I$21,H24)</f>
        <v>2</v>
      </c>
      <c r="K40" s="1" t="s">
        <v>147</v>
      </c>
      <c r="M40" s="18" t="s">
        <v>101</v>
      </c>
      <c r="N40" s="18">
        <v>4</v>
      </c>
      <c r="P40" s="18">
        <v>0</v>
      </c>
      <c r="Q40" s="18">
        <v>5</v>
      </c>
    </row>
    <row r="41" spans="2:17">
      <c r="B41" s="18">
        <v>3</v>
      </c>
      <c r="C41" s="50">
        <v>0.06</v>
      </c>
      <c r="D41" s="50">
        <f t="shared" si="0"/>
        <v>5.6212121212121213E-2</v>
      </c>
      <c r="E41" s="18">
        <v>2</v>
      </c>
      <c r="J41" s="1">
        <f>COUNTIF(I18:I21,H23)</f>
        <v>2</v>
      </c>
      <c r="K41" s="1" t="s">
        <v>156</v>
      </c>
      <c r="M41" s="18">
        <v>50000</v>
      </c>
      <c r="N41" s="18">
        <v>5</v>
      </c>
      <c r="P41" s="18">
        <v>1</v>
      </c>
      <c r="Q41" s="18">
        <v>4</v>
      </c>
    </row>
    <row r="42" spans="2:17">
      <c r="B42" s="18">
        <v>4</v>
      </c>
      <c r="C42" s="50">
        <v>0.05</v>
      </c>
      <c r="D42" s="50">
        <f t="shared" si="0"/>
        <v>4.872727272727273E-2</v>
      </c>
      <c r="E42" s="18">
        <v>3</v>
      </c>
      <c r="M42" s="18">
        <v>100000</v>
      </c>
      <c r="N42" s="18">
        <v>6</v>
      </c>
      <c r="P42" s="18">
        <v>2</v>
      </c>
      <c r="Q42" s="18">
        <v>3</v>
      </c>
    </row>
    <row r="43" spans="2:17">
      <c r="B43" s="18">
        <v>5</v>
      </c>
      <c r="C43" s="50">
        <v>0.04</v>
      </c>
      <c r="D43" s="50">
        <f t="shared" si="0"/>
        <v>4.124242424242424E-2</v>
      </c>
      <c r="E43" s="18">
        <v>4</v>
      </c>
      <c r="J43" s="5"/>
      <c r="M43" s="18">
        <v>150000</v>
      </c>
      <c r="N43" s="18">
        <v>7</v>
      </c>
      <c r="P43" s="18">
        <v>3</v>
      </c>
      <c r="Q43" s="18">
        <v>2</v>
      </c>
    </row>
    <row r="44" spans="2:17">
      <c r="B44" s="18">
        <v>6</v>
      </c>
      <c r="C44" s="50">
        <v>0.03</v>
      </c>
      <c r="D44" s="50">
        <f t="shared" si="0"/>
        <v>3.3757575757575757E-2</v>
      </c>
      <c r="E44" s="18">
        <v>5</v>
      </c>
      <c r="J44" s="1">
        <v>0</v>
      </c>
      <c r="K44" s="1">
        <v>0</v>
      </c>
      <c r="M44" s="18">
        <v>200000</v>
      </c>
      <c r="N44" s="18">
        <v>8</v>
      </c>
      <c r="P44" s="43"/>
      <c r="Q44" s="43"/>
    </row>
    <row r="45" spans="2:17">
      <c r="B45" s="18">
        <v>7</v>
      </c>
      <c r="C45" s="50">
        <v>0.02</v>
      </c>
      <c r="D45" s="50">
        <f t="shared" si="0"/>
        <v>2.6272727272727274E-2</v>
      </c>
      <c r="E45" s="18">
        <v>6</v>
      </c>
      <c r="J45" s="12">
        <v>0.33</v>
      </c>
      <c r="K45" s="1">
        <v>4</v>
      </c>
      <c r="M45" s="18">
        <v>250000</v>
      </c>
      <c r="N45" s="18">
        <v>9</v>
      </c>
      <c r="P45" s="266" t="s">
        <v>173</v>
      </c>
      <c r="Q45" s="267"/>
    </row>
    <row r="46" spans="2:17">
      <c r="B46" s="18">
        <v>8</v>
      </c>
      <c r="C46" s="50">
        <v>0.02</v>
      </c>
      <c r="D46" s="50">
        <f t="shared" si="0"/>
        <v>1.8787878787878791E-2</v>
      </c>
      <c r="E46" s="18">
        <v>7</v>
      </c>
      <c r="J46" s="12">
        <v>0.5</v>
      </c>
      <c r="K46" s="1">
        <v>6</v>
      </c>
      <c r="M46" s="18" t="s">
        <v>143</v>
      </c>
      <c r="N46" s="18">
        <v>10</v>
      </c>
      <c r="P46" s="6" t="s">
        <v>45</v>
      </c>
      <c r="Q46" s="6">
        <f>COUNT(Q48:Q54)</f>
        <v>4</v>
      </c>
    </row>
    <row r="47" spans="2:17">
      <c r="B47" s="18">
        <v>9</v>
      </c>
      <c r="C47" s="50">
        <v>0.01</v>
      </c>
      <c r="D47" s="50">
        <f t="shared" si="0"/>
        <v>1.1303030303030301E-2</v>
      </c>
      <c r="E47" s="18">
        <v>8</v>
      </c>
      <c r="J47" s="12">
        <f>3/4</f>
        <v>0.75</v>
      </c>
      <c r="K47" s="1">
        <v>8</v>
      </c>
      <c r="M47" s="18"/>
      <c r="N47" s="18"/>
      <c r="P47" s="6" t="s">
        <v>172</v>
      </c>
      <c r="Q47" s="6" t="s">
        <v>43</v>
      </c>
    </row>
    <row r="48" spans="2:17">
      <c r="B48" s="18">
        <v>10</v>
      </c>
      <c r="C48" s="50">
        <v>0.01</v>
      </c>
      <c r="D48" s="50">
        <f t="shared" si="0"/>
        <v>3.8181818181818178E-3</v>
      </c>
      <c r="E48" s="18">
        <v>9</v>
      </c>
      <c r="J48" s="12">
        <v>1</v>
      </c>
      <c r="K48" s="1">
        <v>10</v>
      </c>
      <c r="P48" s="18" t="s">
        <v>237</v>
      </c>
      <c r="Q48" s="18">
        <v>5</v>
      </c>
    </row>
    <row r="49" spans="2:17">
      <c r="E49" s="61"/>
      <c r="P49" s="18" t="s">
        <v>236</v>
      </c>
      <c r="Q49" s="18">
        <v>10</v>
      </c>
    </row>
    <row r="50" spans="2:17">
      <c r="C50" s="2" t="s">
        <v>56</v>
      </c>
      <c r="D50" s="49">
        <f>SLOPE(C39:C48,B39:B48)</f>
        <v>-7.484848484848484E-3</v>
      </c>
      <c r="M50" s="273" t="s">
        <v>135</v>
      </c>
      <c r="N50" s="273"/>
      <c r="P50" s="43"/>
      <c r="Q50" s="43"/>
    </row>
    <row r="51" spans="2:17">
      <c r="C51" s="2" t="s">
        <v>57</v>
      </c>
      <c r="D51" s="49">
        <f>INTERCEPT(C39:C48,B39:B48)</f>
        <v>7.8666666666666663E-2</v>
      </c>
      <c r="M51" s="45" t="s">
        <v>45</v>
      </c>
      <c r="N51" s="77">
        <f>COUNT(N53:N59)</f>
        <v>6</v>
      </c>
      <c r="P51" s="266" t="s">
        <v>174</v>
      </c>
      <c r="Q51" s="267"/>
    </row>
    <row r="52" spans="2:17">
      <c r="C52" s="57" t="s">
        <v>88</v>
      </c>
      <c r="D52" s="101" t="s">
        <v>65</v>
      </c>
      <c r="G52" s="6" t="s">
        <v>107</v>
      </c>
      <c r="H52" s="6" t="s">
        <v>108</v>
      </c>
      <c r="I52" s="221" t="s">
        <v>109</v>
      </c>
      <c r="J52" s="222"/>
      <c r="M52" s="6" t="s">
        <v>136</v>
      </c>
      <c r="N52" s="6" t="s">
        <v>43</v>
      </c>
      <c r="O52" s="43"/>
      <c r="P52" s="6" t="s">
        <v>45</v>
      </c>
      <c r="Q52" s="18">
        <v>10</v>
      </c>
    </row>
    <row r="53" spans="2:17">
      <c r="C53" s="57" t="s">
        <v>53</v>
      </c>
      <c r="D53" s="101" t="s">
        <v>60</v>
      </c>
      <c r="G53" s="6">
        <f>H53*(1-H57)</f>
        <v>11400</v>
      </c>
      <c r="H53" s="56">
        <f>C16</f>
        <v>12000</v>
      </c>
      <c r="I53" s="274">
        <f>(G57*H53)+(1-G57)*G53</f>
        <v>11880</v>
      </c>
      <c r="J53" s="275"/>
      <c r="M53" s="18">
        <v>0</v>
      </c>
      <c r="N53" s="18">
        <v>10</v>
      </c>
      <c r="O53" s="43"/>
      <c r="P53" s="6" t="s">
        <v>178</v>
      </c>
      <c r="Q53" s="6" t="s">
        <v>43</v>
      </c>
    </row>
    <row r="54" spans="2:17">
      <c r="C54" s="57" t="s">
        <v>56</v>
      </c>
      <c r="D54" s="101" t="s">
        <v>66</v>
      </c>
      <c r="M54" s="18">
        <v>1</v>
      </c>
      <c r="N54" s="18">
        <v>8</v>
      </c>
      <c r="P54" s="18" t="s">
        <v>237</v>
      </c>
      <c r="Q54" s="18">
        <v>5</v>
      </c>
    </row>
    <row r="55" spans="2:17">
      <c r="C55" s="57" t="s">
        <v>57</v>
      </c>
      <c r="D55" s="101" t="s">
        <v>62</v>
      </c>
      <c r="G55" s="276" t="s">
        <v>112</v>
      </c>
      <c r="H55" s="276"/>
      <c r="J55" s="18" t="s">
        <v>234</v>
      </c>
      <c r="M55" s="18">
        <v>2</v>
      </c>
      <c r="N55" s="18">
        <v>6</v>
      </c>
      <c r="P55" s="18" t="s">
        <v>236</v>
      </c>
      <c r="Q55" s="18">
        <v>10</v>
      </c>
    </row>
    <row r="56" spans="2:17">
      <c r="E56" t="s">
        <v>158</v>
      </c>
      <c r="G56" s="70" t="s">
        <v>110</v>
      </c>
      <c r="H56" s="71" t="s">
        <v>111</v>
      </c>
      <c r="J56" s="18" t="s">
        <v>48</v>
      </c>
      <c r="M56" s="18">
        <v>3</v>
      </c>
      <c r="N56" s="18">
        <v>4</v>
      </c>
    </row>
    <row r="57" spans="2:17">
      <c r="G57" s="70">
        <v>0.8</v>
      </c>
      <c r="H57" s="72">
        <v>0.05</v>
      </c>
      <c r="M57" s="18">
        <v>4</v>
      </c>
      <c r="N57" s="18">
        <v>2</v>
      </c>
      <c r="P57" s="266" t="s">
        <v>177</v>
      </c>
      <c r="Q57" s="267"/>
    </row>
    <row r="58" spans="2:17">
      <c r="M58" s="18">
        <v>5</v>
      </c>
      <c r="N58" s="18">
        <v>0</v>
      </c>
      <c r="P58" s="6" t="s">
        <v>45</v>
      </c>
      <c r="Q58" s="18">
        <v>10</v>
      </c>
    </row>
    <row r="59" spans="2:17">
      <c r="F59" t="s">
        <v>1</v>
      </c>
      <c r="P59" s="6" t="s">
        <v>178</v>
      </c>
      <c r="Q59" s="6" t="s">
        <v>43</v>
      </c>
    </row>
    <row r="60" spans="2:17">
      <c r="B60" s="13" t="s">
        <v>141</v>
      </c>
      <c r="C60">
        <f>C18</f>
        <v>4800</v>
      </c>
      <c r="E60" s="82"/>
      <c r="F60" s="29"/>
      <c r="G60" s="29"/>
      <c r="M60" s="273" t="s">
        <v>140</v>
      </c>
      <c r="N60" s="273"/>
      <c r="P60" s="18">
        <v>0</v>
      </c>
      <c r="Q60" s="18">
        <v>5</v>
      </c>
    </row>
    <row r="61" spans="2:17">
      <c r="B61" s="51" t="s">
        <v>139</v>
      </c>
      <c r="C61" s="29">
        <f>C26</f>
        <v>100</v>
      </c>
      <c r="E61" s="10"/>
      <c r="M61" s="45" t="s">
        <v>45</v>
      </c>
      <c r="N61" s="77">
        <f>COUNT(N63:N69)</f>
        <v>7</v>
      </c>
      <c r="P61" s="18" t="s">
        <v>176</v>
      </c>
      <c r="Q61" s="18">
        <v>10</v>
      </c>
    </row>
    <row r="62" spans="2:17">
      <c r="B62" s="13" t="s">
        <v>138</v>
      </c>
      <c r="C62" s="79">
        <f>C61/C60</f>
        <v>2.0833333333333332E-2</v>
      </c>
      <c r="E62" s="10"/>
      <c r="M62" s="6" t="s">
        <v>142</v>
      </c>
      <c r="N62" s="6" t="s">
        <v>43</v>
      </c>
    </row>
    <row r="63" spans="2:17">
      <c r="E63" s="10"/>
      <c r="M63" s="69">
        <v>0.1</v>
      </c>
      <c r="N63" s="18">
        <v>10</v>
      </c>
      <c r="P63" s="266" t="s">
        <v>179</v>
      </c>
      <c r="Q63" s="267"/>
    </row>
    <row r="64" spans="2:17">
      <c r="E64" s="10" t="s">
        <v>157</v>
      </c>
      <c r="M64" s="69">
        <v>0.15</v>
      </c>
      <c r="N64" s="18">
        <f>AVERAGE(N63,N65)</f>
        <v>9</v>
      </c>
      <c r="P64" s="6" t="s">
        <v>45</v>
      </c>
      <c r="Q64" s="18">
        <v>5</v>
      </c>
    </row>
    <row r="65" spans="2:17">
      <c r="H65" t="s">
        <v>1</v>
      </c>
      <c r="M65" s="69">
        <v>0.2</v>
      </c>
      <c r="N65" s="18">
        <v>8</v>
      </c>
      <c r="P65" s="6" t="s">
        <v>178</v>
      </c>
      <c r="Q65" s="6" t="s">
        <v>43</v>
      </c>
    </row>
    <row r="66" spans="2:17">
      <c r="M66" s="69">
        <v>0.25</v>
      </c>
      <c r="N66" s="18">
        <v>7</v>
      </c>
      <c r="P66" s="18">
        <v>0</v>
      </c>
      <c r="Q66" s="18">
        <v>6</v>
      </c>
    </row>
    <row r="67" spans="2:17">
      <c r="E67" s="75">
        <f>COUNTIF(OUTPUT!I16:$I$19,F67)</f>
        <v>2</v>
      </c>
      <c r="F67" s="22" t="s">
        <v>14</v>
      </c>
      <c r="G67" s="3" t="s">
        <v>18</v>
      </c>
      <c r="H67" s="76">
        <f>COUNTIF(OUTPUT!$K$16:$K$19,G67)</f>
        <v>0</v>
      </c>
      <c r="M67" s="69">
        <v>0.3</v>
      </c>
      <c r="N67" s="18">
        <v>6</v>
      </c>
      <c r="P67" s="18" t="s">
        <v>180</v>
      </c>
      <c r="Q67" s="18">
        <v>5</v>
      </c>
    </row>
    <row r="68" spans="2:17">
      <c r="B68" t="s">
        <v>159</v>
      </c>
      <c r="E68" s="75">
        <v>2</v>
      </c>
      <c r="F68" s="3" t="s">
        <v>15</v>
      </c>
      <c r="G68" s="23" t="s">
        <v>131</v>
      </c>
      <c r="H68" s="76">
        <f>COUNTIF(OUTPUT!$K$16:$K$19,G68)</f>
        <v>4</v>
      </c>
      <c r="M68" s="69">
        <v>0.35</v>
      </c>
      <c r="N68" s="18">
        <v>5</v>
      </c>
      <c r="P68" s="18" t="s">
        <v>185</v>
      </c>
      <c r="Q68" s="18">
        <v>4</v>
      </c>
    </row>
    <row r="69" spans="2:17">
      <c r="B69" t="s">
        <v>160</v>
      </c>
      <c r="H69" s="28"/>
      <c r="M69" s="69">
        <v>0.4</v>
      </c>
      <c r="N69" s="18">
        <v>4</v>
      </c>
      <c r="P69" s="18" t="s">
        <v>184</v>
      </c>
      <c r="Q69" s="18">
        <v>3</v>
      </c>
    </row>
    <row r="70" spans="2:17">
      <c r="B70" t="s">
        <v>161</v>
      </c>
      <c r="G70" s="43" t="s">
        <v>186</v>
      </c>
      <c r="M70" s="69">
        <v>0.45</v>
      </c>
      <c r="N70" s="18">
        <v>3</v>
      </c>
      <c r="P70" s="18" t="s">
        <v>181</v>
      </c>
      <c r="Q70" s="18">
        <v>2</v>
      </c>
    </row>
    <row r="71" spans="2:17">
      <c r="G71" s="43" t="s">
        <v>187</v>
      </c>
      <c r="M71" s="69">
        <v>0.5</v>
      </c>
      <c r="N71" s="18">
        <v>2</v>
      </c>
      <c r="P71" s="18" t="s">
        <v>182</v>
      </c>
      <c r="Q71" s="18">
        <v>1</v>
      </c>
    </row>
    <row r="73" spans="2:17">
      <c r="B73" t="s">
        <v>192</v>
      </c>
      <c r="C73" s="12">
        <v>0.9</v>
      </c>
      <c r="D73" s="1" t="s">
        <v>195</v>
      </c>
      <c r="E73" s="18" t="str">
        <f ca="1">IF($F$8&gt;=C73,1,"NIL")</f>
        <v>NIL</v>
      </c>
      <c r="F73" s="110">
        <f ca="1">F8</f>
        <v>0.50909090909090904</v>
      </c>
      <c r="M73" s="273" t="s">
        <v>148</v>
      </c>
      <c r="N73" s="273"/>
    </row>
    <row r="74" spans="2:17">
      <c r="B74" t="s">
        <v>193</v>
      </c>
      <c r="C74" s="12">
        <v>0.85</v>
      </c>
      <c r="D74" s="1" t="s">
        <v>61</v>
      </c>
      <c r="E74" s="18" t="str">
        <f ca="1">IF($F$8&gt;=C74,2,"NIL")</f>
        <v>NIL</v>
      </c>
      <c r="I74" s="10" t="str" cm="1">
        <f t="array" ref="I74:J76">INPUT!E14:F16</f>
        <v>SHOP OWNERSHIP</v>
      </c>
      <c r="J74" s="10" t="str">
        <v>OWN</v>
      </c>
      <c r="M74" s="45" t="s">
        <v>45</v>
      </c>
      <c r="N74" s="77">
        <f>COUNT(N77:N82)</f>
        <v>4</v>
      </c>
    </row>
    <row r="75" spans="2:17">
      <c r="B75" t="s">
        <v>194</v>
      </c>
      <c r="C75" s="12">
        <v>0.75</v>
      </c>
      <c r="D75" s="1" t="s">
        <v>201</v>
      </c>
      <c r="E75" s="18" t="str">
        <f ca="1">IF($F$8&gt;=C75,3,"NIL")</f>
        <v>NIL</v>
      </c>
      <c r="G75" t="e">
        <f ca="1">VLOOKUP($F$8,C73:D77,2,TRUE)</f>
        <v>#N/A</v>
      </c>
      <c r="I75" s="10" t="str">
        <v>HOUSE OWNERSHIP</v>
      </c>
      <c r="J75" s="10" t="str">
        <v>RENT</v>
      </c>
      <c r="M75" s="6" t="s">
        <v>142</v>
      </c>
      <c r="N75" s="6" t="s">
        <v>43</v>
      </c>
    </row>
    <row r="76" spans="2:17">
      <c r="C76" s="12">
        <v>0.65</v>
      </c>
      <c r="D76" s="1" t="s">
        <v>62</v>
      </c>
      <c r="E76" s="18" t="str">
        <f ca="1">IF($F$8&gt;=C76,4,"NIL")</f>
        <v>NIL</v>
      </c>
      <c r="I76" s="10" t="str">
        <v>ANY OTHER ASSETS (No.)</v>
      </c>
      <c r="J76" s="10">
        <v>1</v>
      </c>
      <c r="M76" s="69">
        <v>0</v>
      </c>
      <c r="N76" s="18">
        <v>0</v>
      </c>
    </row>
    <row r="77" spans="2:17">
      <c r="C77" s="12">
        <v>0.6</v>
      </c>
      <c r="D77" s="1" t="s">
        <v>63</v>
      </c>
      <c r="E77" s="18" t="str">
        <f ca="1">IF($F$8&gt;=C77,5,"NIL")</f>
        <v>NIL</v>
      </c>
      <c r="M77" s="69">
        <v>0.25</v>
      </c>
      <c r="N77" s="18">
        <v>4</v>
      </c>
    </row>
    <row r="78" spans="2:17">
      <c r="C78" s="68">
        <v>0.6</v>
      </c>
      <c r="D78" s="288" t="s">
        <v>258</v>
      </c>
      <c r="E78" s="18">
        <f ca="1">IF($F$8&lt;C78,6,"NIL")</f>
        <v>6</v>
      </c>
      <c r="M78" s="69">
        <v>0.5</v>
      </c>
      <c r="N78" s="18">
        <v>6</v>
      </c>
    </row>
    <row r="79" spans="2:17">
      <c r="I79" t="str">
        <f>INPUT!E23</f>
        <v>TYPE OF ARREAR (Highest)</v>
      </c>
      <c r="J79" t="str">
        <f>INPUT!F23</f>
        <v>No Arrears</v>
      </c>
      <c r="M79" s="69">
        <f>3/4</f>
        <v>0.75</v>
      </c>
      <c r="N79" s="18">
        <v>8</v>
      </c>
    </row>
    <row r="80" spans="2:17">
      <c r="E80" s="61">
        <f ca="1">MIN(E74:E78)</f>
        <v>6</v>
      </c>
      <c r="I80" t="str">
        <f>INPUT!E24</f>
        <v>TIMES OF ARREAR</v>
      </c>
      <c r="J80" t="str">
        <f>INPUT!F24</f>
        <v>No Arrears</v>
      </c>
      <c r="M80" s="69">
        <v>1</v>
      </c>
      <c r="N80" s="18">
        <v>10</v>
      </c>
    </row>
    <row r="81" spans="3:14">
      <c r="C81" s="112" t="s">
        <v>199</v>
      </c>
      <c r="D81" s="113"/>
      <c r="E81" s="114" t="str" cm="1">
        <f t="array" aca="1" ref="E81" ca="1">IFERROR(IF(F8&gt;C73,D73,_xlfn.IFS($E$80=D84,C84,E80=D85,C85,E80=D86,C86,E80=D87,C87,F73&lt;60%,"F")),0)</f>
        <v>F</v>
      </c>
      <c r="J81" t="e">
        <f>J79*J80</f>
        <v>#VALUE!</v>
      </c>
    </row>
    <row r="82" spans="3:14">
      <c r="M82" s="273" t="s">
        <v>163</v>
      </c>
      <c r="N82" s="273"/>
    </row>
    <row r="83" spans="3:14">
      <c r="C83" s="1" t="s">
        <v>195</v>
      </c>
      <c r="D83" s="111">
        <v>1</v>
      </c>
      <c r="E83" s="43">
        <f ca="1">IF($E$80=D83,C83,0)</f>
        <v>0</v>
      </c>
      <c r="F83" s="1" t="b">
        <f ca="1">$E$80=D83</f>
        <v>0</v>
      </c>
      <c r="M83" s="45" t="s">
        <v>164</v>
      </c>
      <c r="N83" s="77">
        <f>COUNT(N86:N91)</f>
        <v>1</v>
      </c>
    </row>
    <row r="84" spans="3:14">
      <c r="C84" s="1" t="s">
        <v>61</v>
      </c>
      <c r="D84" s="111">
        <v>2</v>
      </c>
      <c r="E84" s="43">
        <f ca="1">IF($E$80=D84,C84,0)</f>
        <v>0</v>
      </c>
      <c r="F84" s="1" t="b">
        <f ca="1">$E$80=D84</f>
        <v>0</v>
      </c>
      <c r="M84" s="6" t="s">
        <v>142</v>
      </c>
      <c r="N84" s="6" t="s">
        <v>43</v>
      </c>
    </row>
    <row r="85" spans="3:14">
      <c r="C85" s="1" t="s">
        <v>201</v>
      </c>
      <c r="D85" s="111">
        <v>3</v>
      </c>
      <c r="E85" s="43">
        <f ca="1">IF($E$80=D85,C85,0)</f>
        <v>0</v>
      </c>
      <c r="F85" s="1" t="b">
        <f ca="1">$E$80=D85</f>
        <v>0</v>
      </c>
      <c r="M85" s="83">
        <v>0</v>
      </c>
      <c r="N85" s="18">
        <v>0</v>
      </c>
    </row>
    <row r="86" spans="3:14">
      <c r="C86" s="1" t="s">
        <v>62</v>
      </c>
      <c r="D86" s="111">
        <v>4</v>
      </c>
      <c r="E86" s="43">
        <f ca="1">IF($E$80=D86,C86,0)</f>
        <v>0</v>
      </c>
      <c r="F86" s="1" t="b">
        <f ca="1">$E$80=D86</f>
        <v>0</v>
      </c>
      <c r="M86" s="83">
        <v>1</v>
      </c>
      <c r="N86" s="18">
        <v>5</v>
      </c>
    </row>
    <row r="87" spans="3:14">
      <c r="C87" s="1" t="s">
        <v>63</v>
      </c>
      <c r="D87" s="111">
        <v>5</v>
      </c>
      <c r="E87" s="43">
        <f ca="1">IF($E$80=D87,C87,0)</f>
        <v>0</v>
      </c>
      <c r="F87" s="1" t="b">
        <f ca="1">$E$80=D87</f>
        <v>0</v>
      </c>
      <c r="M87" s="102"/>
      <c r="N87" s="43"/>
    </row>
    <row r="88" spans="3:14">
      <c r="C88" s="288" t="s">
        <v>258</v>
      </c>
      <c r="D88">
        <v>6</v>
      </c>
      <c r="E88" s="43" t="str">
        <f ca="1">IF($E$80=D88,C88,0)</f>
        <v>F</v>
      </c>
      <c r="F88" s="1" t="b">
        <f ca="1">$E$80=D88</f>
        <v>1</v>
      </c>
      <c r="M88" s="102"/>
      <c r="N88" s="43"/>
    </row>
    <row r="89" spans="3:14">
      <c r="M89" s="102"/>
      <c r="N89" s="43"/>
    </row>
  </sheetData>
  <autoFilter ref="B36:E48" xr:uid="{6246F08B-7A31-4DC7-9620-3415CF279A76}"/>
  <mergeCells count="31">
    <mergeCell ref="M29:O29"/>
    <mergeCell ref="B2:K2"/>
    <mergeCell ref="B13:K13"/>
    <mergeCell ref="F25:G25"/>
    <mergeCell ref="M82:N82"/>
    <mergeCell ref="I52:J52"/>
    <mergeCell ref="I53:J53"/>
    <mergeCell ref="M37:N37"/>
    <mergeCell ref="G55:H55"/>
    <mergeCell ref="E15:F15"/>
    <mergeCell ref="M50:N50"/>
    <mergeCell ref="M60:N60"/>
    <mergeCell ref="M73:N73"/>
    <mergeCell ref="M17:N17"/>
    <mergeCell ref="H16:K16"/>
    <mergeCell ref="F26:G26"/>
    <mergeCell ref="P4:R4"/>
    <mergeCell ref="P15:R15"/>
    <mergeCell ref="P37:Q37"/>
    <mergeCell ref="P63:Q63"/>
    <mergeCell ref="P57:Q57"/>
    <mergeCell ref="P51:Q51"/>
    <mergeCell ref="P45:Q45"/>
    <mergeCell ref="F32:G32"/>
    <mergeCell ref="F33:G33"/>
    <mergeCell ref="F34:G34"/>
    <mergeCell ref="F27:G27"/>
    <mergeCell ref="F28:G28"/>
    <mergeCell ref="F29:G29"/>
    <mergeCell ref="F30:G30"/>
    <mergeCell ref="F31:G31"/>
  </mergeCells>
  <conditionalFormatting sqref="J18:J21">
    <cfRule type="cellIs" dxfId="7" priority="3" operator="lessThan">
      <formula>0</formula>
    </cfRule>
  </conditionalFormatting>
  <dataValidations disablePrompts="1" count="4">
    <dataValidation type="whole" errorStyle="warning" operator="lessThanOrEqual" allowBlank="1" showErrorMessage="1" errorTitle="Negative Income Assessment" error="The client Income assessment is negative so better not disbusde the loan" sqref="C33:C34" xr:uid="{9CEAF71B-E50F-482F-A2E2-FF7BA19AA2FD}">
      <formula1>I17</formula1>
    </dataValidation>
    <dataValidation type="whole" errorStyle="warning" operator="lessThanOrEqual" allowBlank="1" showErrorMessage="1" errorTitle="Negative Income Assessment" error="The client Income assessment is negative so better not disbusde the loan" sqref="C32" xr:uid="{1E45ACE3-79CF-499E-96ED-61624AA3D41A}">
      <formula1>#REF!</formula1>
    </dataValidation>
    <dataValidation type="whole" errorStyle="warning" operator="lessThanOrEqual" allowBlank="1" showErrorMessage="1" errorTitle="Negative Income Assessment" error="The client Income assessment is negative so better not disbusde the loan" sqref="C31" xr:uid="{8E03A5F1-1138-48B1-AED5-F61A5710C416}">
      <formula1>I5</formula1>
    </dataValidation>
    <dataValidation type="whole" errorStyle="warning" operator="greaterThan" showInputMessage="1" showErrorMessage="1" errorTitle="Recheck Loan Amount" error="Enter value greater than 100000( 1Lakh)" sqref="I5" xr:uid="{66E84578-A15E-40D6-B1A2-C3C54EB2E2C0}">
      <formula1>100000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" operator="containsText" id="{BFF401E1-1E19-4AFD-AC2E-ACCF2D6FEEB4}">
            <xm:f>NOT(ISERROR(SEARCH($H$23,I18)))</xm:f>
            <xm:f>$H$23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containsText" priority="15" operator="containsText" id="{BC5C0709-164C-4D19-8C67-A868C5D088DB}">
            <xm:f>NOT(ISERROR(SEARCH($H$24,I18)))</xm:f>
            <xm:f>$H$24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6" operator="containsText" id="{1DF209AB-E5AE-4FCB-A844-C52F4B723B33}">
            <xm:f>NOT(ISERROR(SEARCH($H$23,I18)))</xm:f>
            <xm:f>$H$23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I18:I21</xm:sqref>
        </x14:conditionalFormatting>
        <x14:conditionalFormatting xmlns:xm="http://schemas.microsoft.com/office/excel/2006/main">
          <x14:cfRule type="containsText" priority="17" operator="containsText" id="{7CAE4AC8-CB1F-4F58-A10F-55DC1BC3A4EA}">
            <xm:f>NOT(ISERROR(SEARCH($I$25,K18)))</xm:f>
            <xm:f>$I$25</xm:f>
            <x14:dxf>
              <font>
                <b val="0"/>
                <i/>
              </font>
              <fill>
                <patternFill>
                  <bgColor theme="0" tint="-0.14996795556505021"/>
                </patternFill>
              </fill>
            </x14:dxf>
          </x14:cfRule>
          <x14:cfRule type="containsText" priority="18" operator="containsText" id="{E28D9526-57E0-4F20-979D-88114ED71B0D}">
            <xm:f>NOT(ISERROR(SEARCH($I$25,K18)))</xm:f>
            <xm:f>$I$25</xm:f>
            <x14:dxf>
              <border>
                <left style="thin">
                  <color rgb="FF9C0006"/>
                </left>
                <right style="thin">
                  <color rgb="FF9C0006"/>
                </right>
                <top style="thin">
                  <color rgb="FF9C0006"/>
                </top>
                <bottom style="thin">
                  <color rgb="FF9C0006"/>
                </bottom>
              </border>
            </x14:dxf>
          </x14:cfRule>
          <x14:cfRule type="containsText" priority="19" operator="containsText" id="{3E6382D6-4C6B-43DE-84AE-C2C0442B0AEE}">
            <xm:f>NOT(ISERROR(SEARCH($I$24,K18)))</xm:f>
            <xm:f>$I$24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6C73BCC0-A07A-4ADA-A935-7F960E6B0330}">
            <xm:f>NOT(ISERROR(SEARCH($I$23,K18)))</xm:f>
            <xm:f>$I$23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K18:K21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B01C8-17C6-4B6E-9F58-0DDCB7D99A75}">
  <sheetPr codeName="Sheet6"/>
  <dimension ref="E2:Q307"/>
  <sheetViews>
    <sheetView showGridLines="0" topLeftCell="A2" zoomScaleNormal="100" workbookViewId="0">
      <selection activeCell="J22" sqref="J22"/>
    </sheetView>
  </sheetViews>
  <sheetFormatPr defaultRowHeight="15"/>
  <cols>
    <col min="5" max="5" width="13.85546875" customWidth="1"/>
    <col min="6" max="6" width="14.28515625" style="43" customWidth="1"/>
    <col min="7" max="7" width="15.85546875" customWidth="1"/>
    <col min="8" max="9" width="15.140625" customWidth="1"/>
    <col min="10" max="10" width="16.85546875" customWidth="1"/>
    <col min="11" max="11" width="16.28515625" customWidth="1"/>
    <col min="13" max="13" width="19.140625" bestFit="1" customWidth="1"/>
    <col min="14" max="14" width="14.85546875" customWidth="1"/>
    <col min="15" max="15" width="14.28515625" customWidth="1"/>
    <col min="16" max="16" width="13.5703125" customWidth="1"/>
    <col min="17" max="17" width="13.7109375" customWidth="1"/>
  </cols>
  <sheetData>
    <row r="2" spans="5:17" ht="15.75">
      <c r="F2" s="286" t="s">
        <v>229</v>
      </c>
      <c r="G2" s="286"/>
      <c r="H2" s="286"/>
      <c r="I2" s="286"/>
      <c r="J2" s="286"/>
      <c r="K2" s="15"/>
    </row>
    <row r="3" spans="5:17">
      <c r="F3" s="189" t="s">
        <v>215</v>
      </c>
      <c r="G3" s="189" t="s">
        <v>216</v>
      </c>
      <c r="H3" s="189" t="s">
        <v>217</v>
      </c>
      <c r="I3" s="189" t="s">
        <v>218</v>
      </c>
      <c r="J3" s="189" t="s">
        <v>225</v>
      </c>
      <c r="M3" s="2" t="s">
        <v>228</v>
      </c>
      <c r="N3" s="2">
        <v>50</v>
      </c>
      <c r="O3" s="2">
        <v>75</v>
      </c>
      <c r="P3" s="2">
        <v>104</v>
      </c>
      <c r="Q3" s="2">
        <v>156</v>
      </c>
    </row>
    <row r="4" spans="5:17">
      <c r="F4" s="203">
        <f>INPUT!F19</f>
        <v>100000</v>
      </c>
      <c r="G4" s="200">
        <f>INPUT!F12</f>
        <v>50</v>
      </c>
      <c r="H4" s="201">
        <v>0.28000000000000003</v>
      </c>
      <c r="I4" s="202">
        <f>PMT(H4/G4,G4,-F4,0,0)</f>
        <v>2298.608104013791</v>
      </c>
      <c r="J4" s="218">
        <f>H4/G4</f>
        <v>5.6000000000000008E-3</v>
      </c>
      <c r="K4" s="194"/>
      <c r="M4" s="84" t="s">
        <v>227</v>
      </c>
      <c r="N4" s="199">
        <f>SUM(I8:I61)</f>
        <v>14852.883227321763</v>
      </c>
      <c r="O4" s="199">
        <f>SUM(I8:I82)</f>
        <v>10897.720744976281</v>
      </c>
      <c r="P4" s="199">
        <f>SUM($I$8:$I$111)</f>
        <v>-5412.8517008693152</v>
      </c>
      <c r="Q4" s="199">
        <f>SUM($I$8:$I$163)</f>
        <v>-72867.787790201168</v>
      </c>
    </row>
    <row r="5" spans="5:17">
      <c r="I5" s="68"/>
      <c r="J5" s="187"/>
      <c r="K5" s="188"/>
    </row>
    <row r="6" spans="5:17">
      <c r="F6" s="285" t="s">
        <v>226</v>
      </c>
      <c r="G6" s="285"/>
      <c r="H6" s="285"/>
      <c r="I6" s="285"/>
      <c r="J6" s="285"/>
      <c r="K6" s="285"/>
    </row>
    <row r="7" spans="5:17">
      <c r="F7" s="162" t="s">
        <v>219</v>
      </c>
      <c r="G7" s="162" t="s">
        <v>220</v>
      </c>
      <c r="H7" s="162" t="s">
        <v>221</v>
      </c>
      <c r="I7" s="162" t="s">
        <v>222</v>
      </c>
      <c r="J7" s="162" t="s">
        <v>223</v>
      </c>
      <c r="K7" s="162" t="s">
        <v>224</v>
      </c>
    </row>
    <row r="8" spans="5:17">
      <c r="E8" s="196"/>
      <c r="F8" s="11">
        <v>1</v>
      </c>
      <c r="G8" s="190">
        <f>$F$4</f>
        <v>100000</v>
      </c>
      <c r="H8" s="191">
        <f>J8-I8</f>
        <v>1738.608104013791</v>
      </c>
      <c r="I8" s="191">
        <f>G8*$J$4</f>
        <v>560.00000000000011</v>
      </c>
      <c r="J8" s="191">
        <f>I4</f>
        <v>2298.608104013791</v>
      </c>
      <c r="K8" s="191">
        <f t="shared" ref="K8:K14" si="0">G8-H8</f>
        <v>98261.391895986206</v>
      </c>
    </row>
    <row r="9" spans="5:17">
      <c r="F9" s="11">
        <v>2</v>
      </c>
      <c r="G9" s="191">
        <f t="shared" ref="G9:G14" si="1">K8</f>
        <v>98261.391895986206</v>
      </c>
      <c r="H9" s="191">
        <f t="shared" ref="H9:H14" si="2">J9-I9</f>
        <v>1748.3443093962683</v>
      </c>
      <c r="I9" s="191">
        <f t="shared" ref="I9:I72" si="3">G9*$J$4</f>
        <v>550.26379461752288</v>
      </c>
      <c r="J9" s="191">
        <f>$I$4</f>
        <v>2298.608104013791</v>
      </c>
      <c r="K9" s="191">
        <f t="shared" si="0"/>
        <v>96513.047586589935</v>
      </c>
      <c r="N9" s="193"/>
      <c r="O9" s="193"/>
      <c r="P9" s="193"/>
      <c r="Q9" s="193"/>
    </row>
    <row r="10" spans="5:17">
      <c r="F10" s="11">
        <v>3</v>
      </c>
      <c r="G10" s="191">
        <f t="shared" si="1"/>
        <v>96513.047586589935</v>
      </c>
      <c r="H10" s="191">
        <f t="shared" si="2"/>
        <v>1758.1350375288873</v>
      </c>
      <c r="I10" s="191">
        <f t="shared" si="3"/>
        <v>540.47306648490371</v>
      </c>
      <c r="J10" s="191">
        <f t="shared" ref="J10:J73" si="4">$I$4</f>
        <v>2298.608104013791</v>
      </c>
      <c r="K10" s="191">
        <f t="shared" si="0"/>
        <v>94754.912549061046</v>
      </c>
    </row>
    <row r="11" spans="5:17">
      <c r="F11" s="11">
        <v>4</v>
      </c>
      <c r="G11" s="191">
        <f t="shared" si="1"/>
        <v>94754.912549061046</v>
      </c>
      <c r="H11" s="191">
        <f t="shared" si="2"/>
        <v>1767.9805937390493</v>
      </c>
      <c r="I11" s="191">
        <f t="shared" si="3"/>
        <v>530.62751027474189</v>
      </c>
      <c r="J11" s="191">
        <f t="shared" si="4"/>
        <v>2298.608104013791</v>
      </c>
      <c r="K11" s="191">
        <f t="shared" si="0"/>
        <v>92986.931955321998</v>
      </c>
    </row>
    <row r="12" spans="5:17">
      <c r="F12" s="11">
        <v>5</v>
      </c>
      <c r="G12" s="191">
        <f t="shared" si="1"/>
        <v>92986.931955321998</v>
      </c>
      <c r="H12" s="191">
        <f t="shared" si="2"/>
        <v>1777.8812850639879</v>
      </c>
      <c r="I12" s="191">
        <f t="shared" si="3"/>
        <v>520.72681894980326</v>
      </c>
      <c r="J12" s="191">
        <f t="shared" si="4"/>
        <v>2298.608104013791</v>
      </c>
      <c r="K12" s="191">
        <f t="shared" si="0"/>
        <v>91209.050670258002</v>
      </c>
    </row>
    <row r="13" spans="5:17">
      <c r="F13" s="11">
        <v>6</v>
      </c>
      <c r="G13" s="191">
        <f t="shared" si="1"/>
        <v>91209.050670258002</v>
      </c>
      <c r="H13" s="191">
        <f t="shared" si="2"/>
        <v>1787.8374202603461</v>
      </c>
      <c r="I13" s="191">
        <f t="shared" si="3"/>
        <v>510.77068375344487</v>
      </c>
      <c r="J13" s="191">
        <f t="shared" si="4"/>
        <v>2298.608104013791</v>
      </c>
      <c r="K13" s="191">
        <f t="shared" si="0"/>
        <v>89421.213249997658</v>
      </c>
    </row>
    <row r="14" spans="5:17">
      <c r="F14" s="11">
        <v>7</v>
      </c>
      <c r="G14" s="191">
        <f t="shared" si="1"/>
        <v>89421.213249997658</v>
      </c>
      <c r="H14" s="191">
        <f t="shared" si="2"/>
        <v>1797.8493098138042</v>
      </c>
      <c r="I14" s="191">
        <f t="shared" si="3"/>
        <v>500.75879419998694</v>
      </c>
      <c r="J14" s="191">
        <f t="shared" si="4"/>
        <v>2298.608104013791</v>
      </c>
      <c r="K14" s="191">
        <f t="shared" si="0"/>
        <v>87623.363940183859</v>
      </c>
    </row>
    <row r="15" spans="5:17">
      <c r="F15" s="11">
        <v>8</v>
      </c>
      <c r="G15" s="191">
        <f t="shared" ref="G15:G78" si="5">K14</f>
        <v>87623.363940183859</v>
      </c>
      <c r="H15" s="191">
        <f t="shared" ref="H15:H78" si="6">J15-I15</f>
        <v>1807.9172659487613</v>
      </c>
      <c r="I15" s="191">
        <f t="shared" si="3"/>
        <v>490.69083806502971</v>
      </c>
      <c r="J15" s="191">
        <f t="shared" si="4"/>
        <v>2298.608104013791</v>
      </c>
      <c r="K15" s="191">
        <f t="shared" ref="K15:K78" si="7">G15-H15</f>
        <v>85815.446674235092</v>
      </c>
    </row>
    <row r="16" spans="5:17">
      <c r="F16" s="11">
        <v>9</v>
      </c>
      <c r="G16" s="191">
        <f t="shared" si="5"/>
        <v>85815.446674235092</v>
      </c>
      <c r="H16" s="191">
        <f t="shared" si="6"/>
        <v>1818.0416026380744</v>
      </c>
      <c r="I16" s="191">
        <f t="shared" si="3"/>
        <v>480.5665013757166</v>
      </c>
      <c r="J16" s="191">
        <f t="shared" si="4"/>
        <v>2298.608104013791</v>
      </c>
      <c r="K16" s="191">
        <f t="shared" si="7"/>
        <v>83997.405071597022</v>
      </c>
    </row>
    <row r="17" spans="6:11">
      <c r="F17" s="11">
        <v>10</v>
      </c>
      <c r="G17" s="191">
        <f t="shared" si="5"/>
        <v>83997.405071597022</v>
      </c>
      <c r="H17" s="191">
        <f t="shared" si="6"/>
        <v>1828.2226356128476</v>
      </c>
      <c r="I17" s="191">
        <f t="shared" si="3"/>
        <v>470.38546840094341</v>
      </c>
      <c r="J17" s="191">
        <f t="shared" si="4"/>
        <v>2298.608104013791</v>
      </c>
      <c r="K17" s="191">
        <f t="shared" si="7"/>
        <v>82169.18243598417</v>
      </c>
    </row>
    <row r="18" spans="6:11">
      <c r="F18" s="11">
        <v>11</v>
      </c>
      <c r="G18" s="191">
        <f t="shared" si="5"/>
        <v>82169.18243598417</v>
      </c>
      <c r="H18" s="191">
        <f t="shared" si="6"/>
        <v>1838.4606823722797</v>
      </c>
      <c r="I18" s="191">
        <f t="shared" si="3"/>
        <v>460.14742164151141</v>
      </c>
      <c r="J18" s="191">
        <f t="shared" si="4"/>
        <v>2298.608104013791</v>
      </c>
      <c r="K18" s="191">
        <f t="shared" si="7"/>
        <v>80330.721753611884</v>
      </c>
    </row>
    <row r="19" spans="6:11">
      <c r="F19" s="11">
        <v>12</v>
      </c>
      <c r="G19" s="191">
        <f t="shared" si="5"/>
        <v>80330.721753611884</v>
      </c>
      <c r="H19" s="191">
        <f t="shared" si="6"/>
        <v>1848.7560621935645</v>
      </c>
      <c r="I19" s="191">
        <f t="shared" si="3"/>
        <v>449.85204182022659</v>
      </c>
      <c r="J19" s="191">
        <f t="shared" si="4"/>
        <v>2298.608104013791</v>
      </c>
      <c r="K19" s="191">
        <f t="shared" si="7"/>
        <v>78481.965691418314</v>
      </c>
    </row>
    <row r="20" spans="6:11">
      <c r="F20" s="11">
        <v>13</v>
      </c>
      <c r="G20" s="191">
        <f t="shared" si="5"/>
        <v>78481.965691418314</v>
      </c>
      <c r="H20" s="191">
        <f t="shared" si="6"/>
        <v>1859.1090961418483</v>
      </c>
      <c r="I20" s="191">
        <f t="shared" si="3"/>
        <v>439.49900787194264</v>
      </c>
      <c r="J20" s="191">
        <f t="shared" si="4"/>
        <v>2298.608104013791</v>
      </c>
      <c r="K20" s="191">
        <f t="shared" si="7"/>
        <v>76622.856595276462</v>
      </c>
    </row>
    <row r="21" spans="6:11">
      <c r="F21" s="11">
        <v>14</v>
      </c>
      <c r="G21" s="191">
        <f t="shared" si="5"/>
        <v>76622.856595276462</v>
      </c>
      <c r="H21" s="191">
        <f t="shared" si="6"/>
        <v>1869.5201070802427</v>
      </c>
      <c r="I21" s="191">
        <f t="shared" si="3"/>
        <v>429.08799693354825</v>
      </c>
      <c r="J21" s="191">
        <f t="shared" si="4"/>
        <v>2298.608104013791</v>
      </c>
      <c r="K21" s="191">
        <f t="shared" si="7"/>
        <v>74753.336488196219</v>
      </c>
    </row>
    <row r="22" spans="6:11">
      <c r="F22" s="11">
        <v>15</v>
      </c>
      <c r="G22" s="191">
        <f t="shared" si="5"/>
        <v>74753.336488196219</v>
      </c>
      <c r="H22" s="191">
        <f t="shared" si="6"/>
        <v>1879.9894196798921</v>
      </c>
      <c r="I22" s="191">
        <f t="shared" si="3"/>
        <v>418.6186843338989</v>
      </c>
      <c r="J22" s="191">
        <f t="shared" si="4"/>
        <v>2298.608104013791</v>
      </c>
      <c r="K22" s="191">
        <f t="shared" si="7"/>
        <v>72873.347068516334</v>
      </c>
    </row>
    <row r="23" spans="6:11">
      <c r="F23" s="11">
        <v>16</v>
      </c>
      <c r="G23" s="191">
        <f t="shared" si="5"/>
        <v>72873.347068516334</v>
      </c>
      <c r="H23" s="191">
        <f t="shared" si="6"/>
        <v>1890.5173604300994</v>
      </c>
      <c r="I23" s="191">
        <f t="shared" si="3"/>
        <v>408.09074358369151</v>
      </c>
      <c r="J23" s="191">
        <f t="shared" si="4"/>
        <v>2298.608104013791</v>
      </c>
      <c r="K23" s="191">
        <f t="shared" si="7"/>
        <v>70982.829708086239</v>
      </c>
    </row>
    <row r="24" spans="6:11">
      <c r="F24" s="11">
        <v>17</v>
      </c>
      <c r="G24" s="191">
        <f t="shared" si="5"/>
        <v>70982.829708086239</v>
      </c>
      <c r="H24" s="191">
        <f t="shared" si="6"/>
        <v>1901.1042576485081</v>
      </c>
      <c r="I24" s="191">
        <f t="shared" si="3"/>
        <v>397.50384636528298</v>
      </c>
      <c r="J24" s="191">
        <f t="shared" si="4"/>
        <v>2298.608104013791</v>
      </c>
      <c r="K24" s="191">
        <f t="shared" si="7"/>
        <v>69081.725450437734</v>
      </c>
    </row>
    <row r="25" spans="6:11">
      <c r="F25" s="11">
        <v>18</v>
      </c>
      <c r="G25" s="191">
        <f t="shared" si="5"/>
        <v>69081.725450437734</v>
      </c>
      <c r="H25" s="191">
        <f t="shared" si="6"/>
        <v>1911.7504414913396</v>
      </c>
      <c r="I25" s="191">
        <f t="shared" si="3"/>
        <v>386.85766252245139</v>
      </c>
      <c r="J25" s="191">
        <f t="shared" si="4"/>
        <v>2298.608104013791</v>
      </c>
      <c r="K25" s="191">
        <f t="shared" si="7"/>
        <v>67169.975008946392</v>
      </c>
    </row>
    <row r="26" spans="6:11">
      <c r="F26" s="11">
        <v>19</v>
      </c>
      <c r="G26" s="191">
        <f t="shared" si="5"/>
        <v>67169.975008946392</v>
      </c>
      <c r="H26" s="191">
        <f t="shared" si="6"/>
        <v>1922.4562439636911</v>
      </c>
      <c r="I26" s="191">
        <f t="shared" si="3"/>
        <v>376.15186005009986</v>
      </c>
      <c r="J26" s="191">
        <f t="shared" si="4"/>
        <v>2298.608104013791</v>
      </c>
      <c r="K26" s="191">
        <f t="shared" si="7"/>
        <v>65247.518764982698</v>
      </c>
    </row>
    <row r="27" spans="6:11">
      <c r="F27" s="11">
        <v>20</v>
      </c>
      <c r="G27" s="191">
        <f t="shared" si="5"/>
        <v>65247.518764982698</v>
      </c>
      <c r="H27" s="191">
        <f t="shared" si="6"/>
        <v>1933.2219989298878</v>
      </c>
      <c r="I27" s="191">
        <f t="shared" si="3"/>
        <v>365.38610508390315</v>
      </c>
      <c r="J27" s="191">
        <f t="shared" si="4"/>
        <v>2298.608104013791</v>
      </c>
      <c r="K27" s="191">
        <f t="shared" si="7"/>
        <v>63314.296766052808</v>
      </c>
    </row>
    <row r="28" spans="6:11">
      <c r="F28" s="11">
        <v>21</v>
      </c>
      <c r="G28" s="191">
        <f t="shared" si="5"/>
        <v>63314.296766052808</v>
      </c>
      <c r="H28" s="191">
        <f t="shared" si="6"/>
        <v>1944.0480421238954</v>
      </c>
      <c r="I28" s="191">
        <f t="shared" si="3"/>
        <v>354.56006188989579</v>
      </c>
      <c r="J28" s="191">
        <f t="shared" si="4"/>
        <v>2298.608104013791</v>
      </c>
      <c r="K28" s="191">
        <f t="shared" si="7"/>
        <v>61370.248723928911</v>
      </c>
    </row>
    <row r="29" spans="6:11">
      <c r="F29" s="11">
        <v>22</v>
      </c>
      <c r="G29" s="191">
        <f t="shared" si="5"/>
        <v>61370.248723928911</v>
      </c>
      <c r="H29" s="191">
        <f t="shared" si="6"/>
        <v>1954.934711159789</v>
      </c>
      <c r="I29" s="191">
        <f t="shared" si="3"/>
        <v>343.67339285400197</v>
      </c>
      <c r="J29" s="191">
        <f t="shared" si="4"/>
        <v>2298.608104013791</v>
      </c>
      <c r="K29" s="191">
        <f t="shared" si="7"/>
        <v>59415.314012769122</v>
      </c>
    </row>
    <row r="30" spans="6:11">
      <c r="F30" s="11">
        <v>23</v>
      </c>
      <c r="G30" s="191">
        <f t="shared" si="5"/>
        <v>59415.314012769122</v>
      </c>
      <c r="H30" s="191">
        <f t="shared" si="6"/>
        <v>1965.8823455422839</v>
      </c>
      <c r="I30" s="191">
        <f t="shared" si="3"/>
        <v>332.72575847150711</v>
      </c>
      <c r="J30" s="191">
        <f t="shared" si="4"/>
        <v>2298.608104013791</v>
      </c>
      <c r="K30" s="191">
        <f t="shared" si="7"/>
        <v>57449.43166722684</v>
      </c>
    </row>
    <row r="31" spans="6:11">
      <c r="F31" s="11">
        <v>24</v>
      </c>
      <c r="G31" s="191">
        <f t="shared" si="5"/>
        <v>57449.43166722684</v>
      </c>
      <c r="H31" s="191">
        <f t="shared" si="6"/>
        <v>1976.8912866773207</v>
      </c>
      <c r="I31" s="191">
        <f t="shared" si="3"/>
        <v>321.71681733647034</v>
      </c>
      <c r="J31" s="191">
        <f t="shared" si="4"/>
        <v>2298.608104013791</v>
      </c>
      <c r="K31" s="191">
        <f t="shared" si="7"/>
        <v>55472.540380549515</v>
      </c>
    </row>
    <row r="32" spans="6:11">
      <c r="F32" s="11">
        <v>25</v>
      </c>
      <c r="G32" s="191">
        <f t="shared" si="5"/>
        <v>55472.540380549515</v>
      </c>
      <c r="H32" s="191">
        <f t="shared" si="6"/>
        <v>1987.9618778827137</v>
      </c>
      <c r="I32" s="191">
        <f t="shared" si="3"/>
        <v>310.64622613107736</v>
      </c>
      <c r="J32" s="191">
        <f t="shared" si="4"/>
        <v>2298.608104013791</v>
      </c>
      <c r="K32" s="191">
        <f t="shared" si="7"/>
        <v>53484.578502666802</v>
      </c>
    </row>
    <row r="33" spans="6:11">
      <c r="F33" s="11">
        <v>26</v>
      </c>
      <c r="G33" s="191">
        <f t="shared" si="5"/>
        <v>53484.578502666802</v>
      </c>
      <c r="H33" s="191">
        <f t="shared" si="6"/>
        <v>1999.0944643988569</v>
      </c>
      <c r="I33" s="191">
        <f t="shared" si="3"/>
        <v>299.51363961493411</v>
      </c>
      <c r="J33" s="191">
        <f t="shared" si="4"/>
        <v>2298.608104013791</v>
      </c>
      <c r="K33" s="191">
        <f t="shared" si="7"/>
        <v>51485.484038267947</v>
      </c>
    </row>
    <row r="34" spans="6:11">
      <c r="F34" s="11">
        <v>27</v>
      </c>
      <c r="G34" s="191">
        <f t="shared" si="5"/>
        <v>51485.484038267947</v>
      </c>
      <c r="H34" s="191">
        <f t="shared" si="6"/>
        <v>2010.2893933994906</v>
      </c>
      <c r="I34" s="191">
        <f t="shared" si="3"/>
        <v>288.31871061430053</v>
      </c>
      <c r="J34" s="191">
        <f t="shared" si="4"/>
        <v>2298.608104013791</v>
      </c>
      <c r="K34" s="191">
        <f t="shared" si="7"/>
        <v>49475.194644868454</v>
      </c>
    </row>
    <row r="35" spans="6:11">
      <c r="F35" s="11">
        <v>28</v>
      </c>
      <c r="G35" s="191">
        <f t="shared" si="5"/>
        <v>49475.194644868454</v>
      </c>
      <c r="H35" s="191">
        <f t="shared" si="6"/>
        <v>2021.5470140025277</v>
      </c>
      <c r="I35" s="191">
        <f t="shared" si="3"/>
        <v>277.06109001126339</v>
      </c>
      <c r="J35" s="191">
        <f t="shared" si="4"/>
        <v>2298.608104013791</v>
      </c>
      <c r="K35" s="191">
        <f t="shared" si="7"/>
        <v>47453.647630865926</v>
      </c>
    </row>
    <row r="36" spans="6:11">
      <c r="F36" s="11">
        <v>29</v>
      </c>
      <c r="G36" s="191">
        <f t="shared" si="5"/>
        <v>47453.647630865926</v>
      </c>
      <c r="H36" s="191">
        <f t="shared" si="6"/>
        <v>2032.8676772809417</v>
      </c>
      <c r="I36" s="191">
        <f t="shared" si="3"/>
        <v>265.74042673284924</v>
      </c>
      <c r="J36" s="191">
        <f t="shared" si="4"/>
        <v>2298.608104013791</v>
      </c>
      <c r="K36" s="191">
        <f t="shared" si="7"/>
        <v>45420.779953584984</v>
      </c>
    </row>
    <row r="37" spans="6:11">
      <c r="F37" s="11">
        <v>30</v>
      </c>
      <c r="G37" s="191">
        <f t="shared" si="5"/>
        <v>45420.779953584984</v>
      </c>
      <c r="H37" s="191">
        <f t="shared" si="6"/>
        <v>2044.2517362737151</v>
      </c>
      <c r="I37" s="191">
        <f t="shared" si="3"/>
        <v>254.35636774007594</v>
      </c>
      <c r="J37" s="191">
        <f t="shared" si="4"/>
        <v>2298.608104013791</v>
      </c>
      <c r="K37" s="191">
        <f t="shared" si="7"/>
        <v>43376.528217311272</v>
      </c>
    </row>
    <row r="38" spans="6:11">
      <c r="F38" s="11">
        <v>31</v>
      </c>
      <c r="G38" s="191">
        <f t="shared" si="5"/>
        <v>43376.528217311272</v>
      </c>
      <c r="H38" s="191">
        <f t="shared" si="6"/>
        <v>2055.699545996848</v>
      </c>
      <c r="I38" s="191">
        <f t="shared" si="3"/>
        <v>242.90855801694315</v>
      </c>
      <c r="J38" s="191">
        <f t="shared" si="4"/>
        <v>2298.608104013791</v>
      </c>
      <c r="K38" s="191">
        <f t="shared" si="7"/>
        <v>41320.828671314426</v>
      </c>
    </row>
    <row r="39" spans="6:11">
      <c r="F39" s="11">
        <v>32</v>
      </c>
      <c r="G39" s="191">
        <f t="shared" si="5"/>
        <v>41320.828671314426</v>
      </c>
      <c r="H39" s="191">
        <f t="shared" si="6"/>
        <v>2067.21146345443</v>
      </c>
      <c r="I39" s="191">
        <f t="shared" si="3"/>
        <v>231.39664055936083</v>
      </c>
      <c r="J39" s="191">
        <f t="shared" si="4"/>
        <v>2298.608104013791</v>
      </c>
      <c r="K39" s="191">
        <f t="shared" si="7"/>
        <v>39253.617207859999</v>
      </c>
    </row>
    <row r="40" spans="6:11">
      <c r="F40" s="11">
        <v>33</v>
      </c>
      <c r="G40" s="191">
        <f t="shared" si="5"/>
        <v>39253.617207859999</v>
      </c>
      <c r="H40" s="191">
        <f t="shared" si="6"/>
        <v>2078.7878476497749</v>
      </c>
      <c r="I40" s="191">
        <f t="shared" si="3"/>
        <v>219.82025636401602</v>
      </c>
      <c r="J40" s="191">
        <f t="shared" si="4"/>
        <v>2298.608104013791</v>
      </c>
      <c r="K40" s="191">
        <f t="shared" si="7"/>
        <v>37174.829360210228</v>
      </c>
    </row>
    <row r="41" spans="6:11">
      <c r="F41" s="11">
        <v>34</v>
      </c>
      <c r="G41" s="191">
        <f t="shared" si="5"/>
        <v>37174.829360210228</v>
      </c>
      <c r="H41" s="191">
        <f t="shared" si="6"/>
        <v>2090.4290595966136</v>
      </c>
      <c r="I41" s="191">
        <f t="shared" si="3"/>
        <v>208.17904441717729</v>
      </c>
      <c r="J41" s="191">
        <f t="shared" si="4"/>
        <v>2298.608104013791</v>
      </c>
      <c r="K41" s="191">
        <f t="shared" si="7"/>
        <v>35084.400300613612</v>
      </c>
    </row>
    <row r="42" spans="6:11">
      <c r="F42" s="11">
        <v>35</v>
      </c>
      <c r="G42" s="191">
        <f t="shared" si="5"/>
        <v>35084.400300613612</v>
      </c>
      <c r="H42" s="191">
        <f t="shared" si="6"/>
        <v>2102.1354623303546</v>
      </c>
      <c r="I42" s="191">
        <f t="shared" si="3"/>
        <v>196.47264168343625</v>
      </c>
      <c r="J42" s="191">
        <f t="shared" si="4"/>
        <v>2298.608104013791</v>
      </c>
      <c r="K42" s="191">
        <f t="shared" si="7"/>
        <v>32982.264838283256</v>
      </c>
    </row>
    <row r="43" spans="6:11">
      <c r="F43" s="11">
        <v>36</v>
      </c>
      <c r="G43" s="191">
        <f t="shared" si="5"/>
        <v>32982.264838283256</v>
      </c>
      <c r="H43" s="191">
        <f t="shared" si="6"/>
        <v>2113.907420919405</v>
      </c>
      <c r="I43" s="191">
        <f t="shared" si="3"/>
        <v>184.70068309438625</v>
      </c>
      <c r="J43" s="191">
        <f t="shared" si="4"/>
        <v>2298.608104013791</v>
      </c>
      <c r="K43" s="191">
        <f t="shared" si="7"/>
        <v>30868.357417363852</v>
      </c>
    </row>
    <row r="44" spans="6:11">
      <c r="F44" s="11">
        <v>37</v>
      </c>
      <c r="G44" s="191">
        <f t="shared" si="5"/>
        <v>30868.357417363852</v>
      </c>
      <c r="H44" s="191">
        <f t="shared" si="6"/>
        <v>2125.7453024765537</v>
      </c>
      <c r="I44" s="191">
        <f t="shared" si="3"/>
        <v>172.8628015372376</v>
      </c>
      <c r="J44" s="191">
        <f t="shared" si="4"/>
        <v>2298.608104013791</v>
      </c>
      <c r="K44" s="191">
        <f t="shared" si="7"/>
        <v>28742.612114887299</v>
      </c>
    </row>
    <row r="45" spans="6:11">
      <c r="F45" s="11">
        <v>38</v>
      </c>
      <c r="G45" s="191">
        <f t="shared" si="5"/>
        <v>28742.612114887299</v>
      </c>
      <c r="H45" s="191">
        <f t="shared" si="6"/>
        <v>2137.6494761704221</v>
      </c>
      <c r="I45" s="191">
        <f t="shared" si="3"/>
        <v>160.9586278433689</v>
      </c>
      <c r="J45" s="191">
        <f t="shared" si="4"/>
        <v>2298.608104013791</v>
      </c>
      <c r="K45" s="191">
        <f t="shared" si="7"/>
        <v>26604.962638716876</v>
      </c>
    </row>
    <row r="46" spans="6:11">
      <c r="F46" s="11">
        <v>39</v>
      </c>
      <c r="G46" s="191">
        <f t="shared" si="5"/>
        <v>26604.962638716876</v>
      </c>
      <c r="H46" s="191">
        <f t="shared" si="6"/>
        <v>2149.6203132369765</v>
      </c>
      <c r="I46" s="191">
        <f t="shared" si="3"/>
        <v>148.98779077681453</v>
      </c>
      <c r="J46" s="191">
        <f t="shared" si="4"/>
        <v>2298.608104013791</v>
      </c>
      <c r="K46" s="191">
        <f t="shared" si="7"/>
        <v>24455.342325479898</v>
      </c>
    </row>
    <row r="47" spans="6:11">
      <c r="F47" s="11">
        <v>40</v>
      </c>
      <c r="G47" s="191">
        <f t="shared" si="5"/>
        <v>24455.342325479898</v>
      </c>
      <c r="H47" s="191">
        <f t="shared" si="6"/>
        <v>2161.6581869911038</v>
      </c>
      <c r="I47" s="191">
        <f t="shared" si="3"/>
        <v>136.94991702268746</v>
      </c>
      <c r="J47" s="191">
        <f t="shared" si="4"/>
        <v>2298.608104013791</v>
      </c>
      <c r="K47" s="191">
        <f t="shared" si="7"/>
        <v>22293.684138488796</v>
      </c>
    </row>
    <row r="48" spans="6:11">
      <c r="F48" s="11">
        <v>41</v>
      </c>
      <c r="G48" s="191">
        <f t="shared" si="5"/>
        <v>22293.684138488796</v>
      </c>
      <c r="H48" s="191">
        <f t="shared" si="6"/>
        <v>2173.7634728382536</v>
      </c>
      <c r="I48" s="191">
        <f t="shared" si="3"/>
        <v>124.84463117553727</v>
      </c>
      <c r="J48" s="191">
        <f t="shared" si="4"/>
        <v>2298.608104013791</v>
      </c>
      <c r="K48" s="191">
        <f t="shared" si="7"/>
        <v>20119.920665650541</v>
      </c>
    </row>
    <row r="49" spans="6:11">
      <c r="F49" s="11">
        <v>42</v>
      </c>
      <c r="G49" s="191">
        <f t="shared" si="5"/>
        <v>20119.920665650541</v>
      </c>
      <c r="H49" s="191">
        <f t="shared" si="6"/>
        <v>2185.9365482861481</v>
      </c>
      <c r="I49" s="191">
        <f t="shared" si="3"/>
        <v>112.67155572764305</v>
      </c>
      <c r="J49" s="191">
        <f t="shared" si="4"/>
        <v>2298.608104013791</v>
      </c>
      <c r="K49" s="191">
        <f t="shared" si="7"/>
        <v>17933.984117364394</v>
      </c>
    </row>
    <row r="50" spans="6:11">
      <c r="F50" s="11">
        <v>43</v>
      </c>
      <c r="G50" s="191">
        <f t="shared" si="5"/>
        <v>17933.984117364394</v>
      </c>
      <c r="H50" s="191">
        <f t="shared" si="6"/>
        <v>2198.1777929565505</v>
      </c>
      <c r="I50" s="191">
        <f t="shared" si="3"/>
        <v>100.43031105724063</v>
      </c>
      <c r="J50" s="191">
        <f t="shared" si="4"/>
        <v>2298.608104013791</v>
      </c>
      <c r="K50" s="191">
        <f t="shared" si="7"/>
        <v>15735.806324407844</v>
      </c>
    </row>
    <row r="51" spans="6:11">
      <c r="F51" s="11">
        <v>44</v>
      </c>
      <c r="G51" s="191">
        <f t="shared" si="5"/>
        <v>15735.806324407844</v>
      </c>
      <c r="H51" s="191">
        <f t="shared" si="6"/>
        <v>2210.4875885971069</v>
      </c>
      <c r="I51" s="191">
        <f t="shared" si="3"/>
        <v>88.120515416683943</v>
      </c>
      <c r="J51" s="191">
        <f t="shared" si="4"/>
        <v>2298.608104013791</v>
      </c>
      <c r="K51" s="191">
        <f t="shared" si="7"/>
        <v>13525.318735810737</v>
      </c>
    </row>
    <row r="52" spans="6:11">
      <c r="F52" s="11">
        <v>45</v>
      </c>
      <c r="G52" s="191">
        <f t="shared" si="5"/>
        <v>13525.318735810737</v>
      </c>
      <c r="H52" s="191">
        <f t="shared" si="6"/>
        <v>2222.8663190932507</v>
      </c>
      <c r="I52" s="191">
        <f t="shared" si="3"/>
        <v>75.741784920540141</v>
      </c>
      <c r="J52" s="191">
        <f t="shared" si="4"/>
        <v>2298.608104013791</v>
      </c>
      <c r="K52" s="191">
        <f t="shared" si="7"/>
        <v>11302.452416717486</v>
      </c>
    </row>
    <row r="53" spans="6:11">
      <c r="F53" s="11">
        <v>46</v>
      </c>
      <c r="G53" s="191">
        <f t="shared" si="5"/>
        <v>11302.452416717486</v>
      </c>
      <c r="H53" s="191">
        <f t="shared" si="6"/>
        <v>2235.3143704801732</v>
      </c>
      <c r="I53" s="191">
        <f t="shared" si="3"/>
        <v>63.293733533617932</v>
      </c>
      <c r="J53" s="191">
        <f t="shared" si="4"/>
        <v>2298.608104013791</v>
      </c>
      <c r="K53" s="191">
        <f t="shared" si="7"/>
        <v>9067.1380462373127</v>
      </c>
    </row>
    <row r="54" spans="6:11">
      <c r="F54" s="11">
        <v>47</v>
      </c>
      <c r="G54" s="191">
        <f t="shared" si="5"/>
        <v>9067.1380462373127</v>
      </c>
      <c r="H54" s="191">
        <f t="shared" si="6"/>
        <v>2247.8321309548619</v>
      </c>
      <c r="I54" s="191">
        <f t="shared" si="3"/>
        <v>50.775973058928962</v>
      </c>
      <c r="J54" s="191">
        <f t="shared" si="4"/>
        <v>2298.608104013791</v>
      </c>
      <c r="K54" s="191">
        <f t="shared" si="7"/>
        <v>6819.3059152824508</v>
      </c>
    </row>
    <row r="55" spans="6:11">
      <c r="F55" s="11">
        <v>48</v>
      </c>
      <c r="G55" s="191">
        <f t="shared" si="5"/>
        <v>6819.3059152824508</v>
      </c>
      <c r="H55" s="191">
        <f t="shared" si="6"/>
        <v>2260.4199908882092</v>
      </c>
      <c r="I55" s="191">
        <f t="shared" si="3"/>
        <v>38.188113125581729</v>
      </c>
      <c r="J55" s="191">
        <f t="shared" si="4"/>
        <v>2298.608104013791</v>
      </c>
      <c r="K55" s="191">
        <f t="shared" si="7"/>
        <v>4558.8859243942416</v>
      </c>
    </row>
    <row r="56" spans="6:11">
      <c r="F56" s="11">
        <v>49</v>
      </c>
      <c r="G56" s="191">
        <f t="shared" si="5"/>
        <v>4558.8859243942416</v>
      </c>
      <c r="H56" s="191">
        <f t="shared" si="6"/>
        <v>2273.0783428371833</v>
      </c>
      <c r="I56" s="191">
        <f t="shared" si="3"/>
        <v>25.529761176607757</v>
      </c>
      <c r="J56" s="191">
        <f t="shared" si="4"/>
        <v>2298.608104013791</v>
      </c>
      <c r="K56" s="191">
        <f t="shared" si="7"/>
        <v>2285.8075815570583</v>
      </c>
    </row>
    <row r="57" spans="6:11">
      <c r="F57" s="11">
        <v>50</v>
      </c>
      <c r="G57" s="191">
        <f t="shared" si="5"/>
        <v>2285.8075815570583</v>
      </c>
      <c r="H57" s="191">
        <f t="shared" si="6"/>
        <v>2285.8075815570714</v>
      </c>
      <c r="I57" s="191">
        <f t="shared" si="3"/>
        <v>12.800522456719529</v>
      </c>
      <c r="J57" s="191">
        <f t="shared" si="4"/>
        <v>2298.608104013791</v>
      </c>
      <c r="K57" s="191">
        <f t="shared" si="7"/>
        <v>-1.3187673175707459E-11</v>
      </c>
    </row>
    <row r="58" spans="6:11">
      <c r="F58" s="11">
        <v>51</v>
      </c>
      <c r="G58" s="191">
        <f t="shared" si="5"/>
        <v>-1.3187673175707459E-11</v>
      </c>
      <c r="H58" s="191">
        <f t="shared" si="6"/>
        <v>2298.608104013791</v>
      </c>
      <c r="I58" s="191">
        <f t="shared" si="3"/>
        <v>-7.385096978396178E-14</v>
      </c>
      <c r="J58" s="191">
        <f t="shared" si="4"/>
        <v>2298.608104013791</v>
      </c>
      <c r="K58" s="191">
        <f t="shared" si="7"/>
        <v>-2298.6081040138042</v>
      </c>
    </row>
    <row r="59" spans="6:11">
      <c r="F59" s="11">
        <v>52</v>
      </c>
      <c r="G59" s="191">
        <f t="shared" si="5"/>
        <v>-2298.6081040138042</v>
      </c>
      <c r="H59" s="191">
        <f t="shared" si="6"/>
        <v>2311.4803093962682</v>
      </c>
      <c r="I59" s="191">
        <f t="shared" si="3"/>
        <v>-12.872205382477306</v>
      </c>
      <c r="J59" s="191">
        <f t="shared" si="4"/>
        <v>2298.608104013791</v>
      </c>
      <c r="K59" s="191">
        <f t="shared" si="7"/>
        <v>-4610.0884134100725</v>
      </c>
    </row>
    <row r="60" spans="6:11">
      <c r="F60" s="11">
        <v>53</v>
      </c>
      <c r="G60" s="191">
        <f t="shared" si="5"/>
        <v>-4610.0884134100725</v>
      </c>
      <c r="H60" s="191">
        <f t="shared" si="6"/>
        <v>2324.4245991288876</v>
      </c>
      <c r="I60" s="191">
        <f t="shared" si="3"/>
        <v>-25.816495115096409</v>
      </c>
      <c r="J60" s="191">
        <f t="shared" si="4"/>
        <v>2298.608104013791</v>
      </c>
      <c r="K60" s="191">
        <f t="shared" si="7"/>
        <v>-6934.5130125389605</v>
      </c>
    </row>
    <row r="61" spans="6:11">
      <c r="F61" s="197">
        <v>54</v>
      </c>
      <c r="G61" s="198">
        <f t="shared" si="5"/>
        <v>-6934.5130125389605</v>
      </c>
      <c r="H61" s="198">
        <f t="shared" si="6"/>
        <v>2337.4413768840091</v>
      </c>
      <c r="I61" s="198">
        <f t="shared" si="3"/>
        <v>-38.833272870218181</v>
      </c>
      <c r="J61" s="198">
        <f t="shared" si="4"/>
        <v>2298.608104013791</v>
      </c>
      <c r="K61" s="198">
        <f t="shared" si="7"/>
        <v>-9271.9543894229701</v>
      </c>
    </row>
    <row r="62" spans="6:11">
      <c r="F62" s="11">
        <v>55</v>
      </c>
      <c r="G62" s="191">
        <f t="shared" si="5"/>
        <v>-9271.9543894229701</v>
      </c>
      <c r="H62" s="191">
        <f t="shared" si="6"/>
        <v>2350.5310485945597</v>
      </c>
      <c r="I62" s="191">
        <f t="shared" si="3"/>
        <v>-51.922944580768643</v>
      </c>
      <c r="J62" s="191">
        <f t="shared" si="4"/>
        <v>2298.608104013791</v>
      </c>
      <c r="K62" s="191">
        <f t="shared" si="7"/>
        <v>-11622.485438017529</v>
      </c>
    </row>
    <row r="63" spans="6:11">
      <c r="F63" s="11">
        <v>56</v>
      </c>
      <c r="G63" s="191">
        <f t="shared" si="5"/>
        <v>-11622.485438017529</v>
      </c>
      <c r="H63" s="191">
        <f t="shared" si="6"/>
        <v>2363.6940224666891</v>
      </c>
      <c r="I63" s="191">
        <f t="shared" si="3"/>
        <v>-65.08591845289817</v>
      </c>
      <c r="J63" s="191">
        <f t="shared" si="4"/>
        <v>2298.608104013791</v>
      </c>
      <c r="K63" s="191">
        <f t="shared" si="7"/>
        <v>-13986.179460484218</v>
      </c>
    </row>
    <row r="64" spans="6:11">
      <c r="F64" s="11">
        <v>57</v>
      </c>
      <c r="G64" s="191">
        <f t="shared" si="5"/>
        <v>-13986.179460484218</v>
      </c>
      <c r="H64" s="191">
        <f t="shared" si="6"/>
        <v>2376.9307089925028</v>
      </c>
      <c r="I64" s="191">
        <f t="shared" si="3"/>
        <v>-78.322604978711638</v>
      </c>
      <c r="J64" s="191">
        <f t="shared" si="4"/>
        <v>2298.608104013791</v>
      </c>
      <c r="K64" s="191">
        <f t="shared" si="7"/>
        <v>-16363.11016947672</v>
      </c>
    </row>
    <row r="65" spans="6:11">
      <c r="F65" s="11">
        <v>58</v>
      </c>
      <c r="G65" s="191">
        <f t="shared" si="5"/>
        <v>-16363.11016947672</v>
      </c>
      <c r="H65" s="191">
        <f t="shared" si="6"/>
        <v>2390.2415209628607</v>
      </c>
      <c r="I65" s="191">
        <f t="shared" si="3"/>
        <v>-91.633416949069641</v>
      </c>
      <c r="J65" s="191">
        <f t="shared" si="4"/>
        <v>2298.608104013791</v>
      </c>
      <c r="K65" s="191">
        <f t="shared" si="7"/>
        <v>-18753.35169043958</v>
      </c>
    </row>
    <row r="66" spans="6:11">
      <c r="F66" s="11">
        <v>59</v>
      </c>
      <c r="G66" s="191">
        <f t="shared" si="5"/>
        <v>-18753.35169043958</v>
      </c>
      <c r="H66" s="191">
        <f t="shared" si="6"/>
        <v>2403.6268734802525</v>
      </c>
      <c r="I66" s="191">
        <f t="shared" si="3"/>
        <v>-105.01876946646166</v>
      </c>
      <c r="J66" s="191">
        <f t="shared" si="4"/>
        <v>2298.608104013791</v>
      </c>
      <c r="K66" s="191">
        <f t="shared" si="7"/>
        <v>-21156.978563919831</v>
      </c>
    </row>
    <row r="67" spans="6:11">
      <c r="F67" s="11">
        <v>60</v>
      </c>
      <c r="G67" s="191">
        <f t="shared" si="5"/>
        <v>-21156.978563919831</v>
      </c>
      <c r="H67" s="191">
        <f t="shared" si="6"/>
        <v>2417.087183971742</v>
      </c>
      <c r="I67" s="191">
        <f t="shared" si="3"/>
        <v>-118.47907995795107</v>
      </c>
      <c r="J67" s="191">
        <f t="shared" si="4"/>
        <v>2298.608104013791</v>
      </c>
      <c r="K67" s="191">
        <f t="shared" si="7"/>
        <v>-23574.065747891575</v>
      </c>
    </row>
    <row r="68" spans="6:11">
      <c r="F68" s="11">
        <v>61</v>
      </c>
      <c r="G68" s="191">
        <f t="shared" si="5"/>
        <v>-23574.065747891575</v>
      </c>
      <c r="H68" s="191">
        <f t="shared" si="6"/>
        <v>2430.6228722019837</v>
      </c>
      <c r="I68" s="191">
        <f t="shared" si="3"/>
        <v>-132.01476818819285</v>
      </c>
      <c r="J68" s="191">
        <f t="shared" si="4"/>
        <v>2298.608104013791</v>
      </c>
      <c r="K68" s="191">
        <f t="shared" si="7"/>
        <v>-26004.688620093559</v>
      </c>
    </row>
    <row r="69" spans="6:11">
      <c r="F69" s="11">
        <v>62</v>
      </c>
      <c r="G69" s="191">
        <f t="shared" si="5"/>
        <v>-26004.688620093559</v>
      </c>
      <c r="H69" s="191">
        <f t="shared" si="6"/>
        <v>2444.2343602863148</v>
      </c>
      <c r="I69" s="191">
        <f t="shared" si="3"/>
        <v>-145.62625627252396</v>
      </c>
      <c r="J69" s="191">
        <f t="shared" si="4"/>
        <v>2298.608104013791</v>
      </c>
      <c r="K69" s="191">
        <f t="shared" si="7"/>
        <v>-28448.922980379873</v>
      </c>
    </row>
    <row r="70" spans="6:11">
      <c r="F70" s="11">
        <v>63</v>
      </c>
      <c r="G70" s="191">
        <f t="shared" si="5"/>
        <v>-28448.922980379873</v>
      </c>
      <c r="H70" s="191">
        <f t="shared" si="6"/>
        <v>2457.9220727039183</v>
      </c>
      <c r="I70" s="191">
        <f t="shared" si="3"/>
        <v>-159.31396869012733</v>
      </c>
      <c r="J70" s="191">
        <f t="shared" si="4"/>
        <v>2298.608104013791</v>
      </c>
      <c r="K70" s="191">
        <f t="shared" si="7"/>
        <v>-30906.845053083791</v>
      </c>
    </row>
    <row r="71" spans="6:11">
      <c r="F71" s="11">
        <v>64</v>
      </c>
      <c r="G71" s="191">
        <f t="shared" si="5"/>
        <v>-30906.845053083791</v>
      </c>
      <c r="H71" s="191">
        <f t="shared" si="6"/>
        <v>2471.6864363110603</v>
      </c>
      <c r="I71" s="191">
        <f t="shared" si="3"/>
        <v>-173.07833229726924</v>
      </c>
      <c r="J71" s="191">
        <f t="shared" si="4"/>
        <v>2298.608104013791</v>
      </c>
      <c r="K71" s="191">
        <f t="shared" si="7"/>
        <v>-33378.531489394853</v>
      </c>
    </row>
    <row r="72" spans="6:11">
      <c r="F72" s="11">
        <v>65</v>
      </c>
      <c r="G72" s="191">
        <f t="shared" si="5"/>
        <v>-33378.531489394853</v>
      </c>
      <c r="H72" s="191">
        <f t="shared" si="6"/>
        <v>2485.5278803544024</v>
      </c>
      <c r="I72" s="191">
        <f t="shared" si="3"/>
        <v>-186.91977634061121</v>
      </c>
      <c r="J72" s="191">
        <f t="shared" si="4"/>
        <v>2298.608104013791</v>
      </c>
      <c r="K72" s="191">
        <f t="shared" si="7"/>
        <v>-35864.059369749259</v>
      </c>
    </row>
    <row r="73" spans="6:11">
      <c r="F73" s="11">
        <v>66</v>
      </c>
      <c r="G73" s="191">
        <f t="shared" si="5"/>
        <v>-35864.059369749259</v>
      </c>
      <c r="H73" s="191">
        <f t="shared" si="6"/>
        <v>2499.4468364843869</v>
      </c>
      <c r="I73" s="191">
        <f t="shared" ref="I73:I136" si="8">G73*$J$4</f>
        <v>-200.83873247059589</v>
      </c>
      <c r="J73" s="191">
        <f t="shared" si="4"/>
        <v>2298.608104013791</v>
      </c>
      <c r="K73" s="191">
        <f t="shared" si="7"/>
        <v>-38363.506206233644</v>
      </c>
    </row>
    <row r="74" spans="6:11">
      <c r="F74" s="11">
        <v>67</v>
      </c>
      <c r="G74" s="191">
        <f t="shared" si="5"/>
        <v>-38363.506206233644</v>
      </c>
      <c r="H74" s="191">
        <f t="shared" si="6"/>
        <v>2513.4437387686994</v>
      </c>
      <c r="I74" s="191">
        <f t="shared" si="8"/>
        <v>-214.83563475490843</v>
      </c>
      <c r="J74" s="191">
        <f t="shared" ref="J74:J137" si="9">$I$4</f>
        <v>2298.608104013791</v>
      </c>
      <c r="K74" s="191">
        <f t="shared" si="7"/>
        <v>-40876.949945002343</v>
      </c>
    </row>
    <row r="75" spans="6:11">
      <c r="F75" s="11">
        <v>68</v>
      </c>
      <c r="G75" s="191">
        <f t="shared" si="5"/>
        <v>-40876.949945002343</v>
      </c>
      <c r="H75" s="191">
        <f t="shared" si="6"/>
        <v>2527.5190237058041</v>
      </c>
      <c r="I75" s="191">
        <f t="shared" si="8"/>
        <v>-228.91091969201315</v>
      </c>
      <c r="J75" s="191">
        <f t="shared" si="9"/>
        <v>2298.608104013791</v>
      </c>
      <c r="K75" s="191">
        <f t="shared" si="7"/>
        <v>-43404.468968708148</v>
      </c>
    </row>
    <row r="76" spans="6:11">
      <c r="F76" s="11">
        <v>69</v>
      </c>
      <c r="G76" s="191">
        <f t="shared" si="5"/>
        <v>-43404.468968708148</v>
      </c>
      <c r="H76" s="191">
        <f t="shared" si="6"/>
        <v>2541.6731302385565</v>
      </c>
      <c r="I76" s="191">
        <f t="shared" si="8"/>
        <v>-243.06502622476566</v>
      </c>
      <c r="J76" s="191">
        <f t="shared" si="9"/>
        <v>2298.608104013791</v>
      </c>
      <c r="K76" s="191">
        <f t="shared" si="7"/>
        <v>-45946.142098946708</v>
      </c>
    </row>
    <row r="77" spans="6:11">
      <c r="F77" s="11">
        <v>70</v>
      </c>
      <c r="G77" s="191">
        <f t="shared" si="5"/>
        <v>-45946.142098946708</v>
      </c>
      <c r="H77" s="191">
        <f t="shared" si="6"/>
        <v>2555.9064997678925</v>
      </c>
      <c r="I77" s="191">
        <f t="shared" si="8"/>
        <v>-257.29839575410159</v>
      </c>
      <c r="J77" s="191">
        <f t="shared" si="9"/>
        <v>2298.608104013791</v>
      </c>
      <c r="K77" s="191">
        <f t="shared" si="7"/>
        <v>-48502.048598714602</v>
      </c>
    </row>
    <row r="78" spans="6:11">
      <c r="F78" s="11">
        <v>71</v>
      </c>
      <c r="G78" s="191">
        <f t="shared" si="5"/>
        <v>-48502.048598714602</v>
      </c>
      <c r="H78" s="191">
        <f t="shared" si="6"/>
        <v>2570.219576166593</v>
      </c>
      <c r="I78" s="191">
        <f t="shared" si="8"/>
        <v>-271.61147215280181</v>
      </c>
      <c r="J78" s="191">
        <f t="shared" si="9"/>
        <v>2298.608104013791</v>
      </c>
      <c r="K78" s="191">
        <f t="shared" si="7"/>
        <v>-51072.268174881196</v>
      </c>
    </row>
    <row r="79" spans="6:11">
      <c r="F79" s="11">
        <v>72</v>
      </c>
      <c r="G79" s="191">
        <f t="shared" ref="G79:G142" si="10">K78</f>
        <v>-51072.268174881196</v>
      </c>
      <c r="H79" s="191">
        <f t="shared" ref="H79:H142" si="11">J79-I79</f>
        <v>2584.6128057931255</v>
      </c>
      <c r="I79" s="191">
        <f t="shared" si="8"/>
        <v>-286.00470177933471</v>
      </c>
      <c r="J79" s="191">
        <f t="shared" si="9"/>
        <v>2298.608104013791</v>
      </c>
      <c r="K79" s="191">
        <f t="shared" ref="K79:K142" si="12">G79-H79</f>
        <v>-53656.880980674323</v>
      </c>
    </row>
    <row r="80" spans="6:11">
      <c r="F80" s="11">
        <v>73</v>
      </c>
      <c r="G80" s="191">
        <f t="shared" si="10"/>
        <v>-53656.880980674323</v>
      </c>
      <c r="H80" s="191">
        <f t="shared" si="11"/>
        <v>2599.0866375055675</v>
      </c>
      <c r="I80" s="191">
        <f t="shared" si="8"/>
        <v>-300.47853349177626</v>
      </c>
      <c r="J80" s="191">
        <f t="shared" si="9"/>
        <v>2298.608104013791</v>
      </c>
      <c r="K80" s="191">
        <f t="shared" si="12"/>
        <v>-56255.967618179893</v>
      </c>
    </row>
    <row r="81" spans="6:11">
      <c r="F81" s="11">
        <v>74</v>
      </c>
      <c r="G81" s="191">
        <f t="shared" si="10"/>
        <v>-56255.967618179893</v>
      </c>
      <c r="H81" s="191">
        <f t="shared" si="11"/>
        <v>2613.6415226755985</v>
      </c>
      <c r="I81" s="191">
        <f t="shared" si="8"/>
        <v>-315.03341866180745</v>
      </c>
      <c r="J81" s="191">
        <f t="shared" si="9"/>
        <v>2298.608104013791</v>
      </c>
      <c r="K81" s="191">
        <f t="shared" si="12"/>
        <v>-58869.609140855493</v>
      </c>
    </row>
    <row r="82" spans="6:11">
      <c r="F82" s="195">
        <v>75</v>
      </c>
      <c r="G82" s="192">
        <f t="shared" si="10"/>
        <v>-58869.609140855493</v>
      </c>
      <c r="H82" s="192">
        <f t="shared" si="11"/>
        <v>2628.2779152025819</v>
      </c>
      <c r="I82" s="191">
        <f t="shared" si="8"/>
        <v>-329.66981118879079</v>
      </c>
      <c r="J82" s="192">
        <f t="shared" si="9"/>
        <v>2298.608104013791</v>
      </c>
      <c r="K82" s="192">
        <f t="shared" si="12"/>
        <v>-61497.887056058076</v>
      </c>
    </row>
    <row r="83" spans="6:11">
      <c r="F83" s="11">
        <v>76</v>
      </c>
      <c r="G83" s="191">
        <f t="shared" si="10"/>
        <v>-61497.887056058076</v>
      </c>
      <c r="H83" s="191">
        <f t="shared" si="11"/>
        <v>2642.9962715277161</v>
      </c>
      <c r="I83" s="191">
        <f t="shared" si="8"/>
        <v>-344.38816751392528</v>
      </c>
      <c r="J83" s="191">
        <f t="shared" si="9"/>
        <v>2298.608104013791</v>
      </c>
      <c r="K83" s="191">
        <f t="shared" si="12"/>
        <v>-64140.883327585791</v>
      </c>
    </row>
    <row r="84" spans="6:11">
      <c r="F84" s="11">
        <v>77</v>
      </c>
      <c r="G84" s="191">
        <f t="shared" si="10"/>
        <v>-64140.883327585791</v>
      </c>
      <c r="H84" s="191">
        <f t="shared" si="11"/>
        <v>2657.7970506482716</v>
      </c>
      <c r="I84" s="191">
        <f t="shared" si="8"/>
        <v>-359.18894663448049</v>
      </c>
      <c r="J84" s="191">
        <f t="shared" si="9"/>
        <v>2298.608104013791</v>
      </c>
      <c r="K84" s="191">
        <f t="shared" si="12"/>
        <v>-66798.680378234058</v>
      </c>
    </row>
    <row r="85" spans="6:11">
      <c r="F85" s="11">
        <v>78</v>
      </c>
      <c r="G85" s="191">
        <f t="shared" si="10"/>
        <v>-66798.680378234058</v>
      </c>
      <c r="H85" s="191">
        <f t="shared" si="11"/>
        <v>2672.6807141319018</v>
      </c>
      <c r="I85" s="191">
        <f t="shared" si="8"/>
        <v>-374.07261011811079</v>
      </c>
      <c r="J85" s="191">
        <f t="shared" si="9"/>
        <v>2298.608104013791</v>
      </c>
      <c r="K85" s="191">
        <f t="shared" si="12"/>
        <v>-69471.361092365958</v>
      </c>
    </row>
    <row r="86" spans="6:11">
      <c r="F86" s="11">
        <v>79</v>
      </c>
      <c r="G86" s="191">
        <f t="shared" si="10"/>
        <v>-69471.361092365958</v>
      </c>
      <c r="H86" s="191">
        <f t="shared" si="11"/>
        <v>2687.6477261310406</v>
      </c>
      <c r="I86" s="191">
        <f t="shared" si="8"/>
        <v>-389.03962211724939</v>
      </c>
      <c r="J86" s="191">
        <f t="shared" si="9"/>
        <v>2298.608104013791</v>
      </c>
      <c r="K86" s="191">
        <f t="shared" si="12"/>
        <v>-72159.008818496994</v>
      </c>
    </row>
    <row r="87" spans="6:11">
      <c r="F87" s="11">
        <v>80</v>
      </c>
      <c r="G87" s="191">
        <f t="shared" si="10"/>
        <v>-72159.008818496994</v>
      </c>
      <c r="H87" s="191">
        <f t="shared" si="11"/>
        <v>2702.6985533973743</v>
      </c>
      <c r="I87" s="191">
        <f t="shared" si="8"/>
        <v>-404.09044938358323</v>
      </c>
      <c r="J87" s="191">
        <f t="shared" si="9"/>
        <v>2298.608104013791</v>
      </c>
      <c r="K87" s="191">
        <f t="shared" si="12"/>
        <v>-74861.707371894372</v>
      </c>
    </row>
    <row r="88" spans="6:11">
      <c r="F88" s="11">
        <v>81</v>
      </c>
      <c r="G88" s="191">
        <f t="shared" si="10"/>
        <v>-74861.707371894372</v>
      </c>
      <c r="H88" s="191">
        <f t="shared" si="11"/>
        <v>2717.8336652963994</v>
      </c>
      <c r="I88" s="191">
        <f t="shared" si="8"/>
        <v>-419.22556128260857</v>
      </c>
      <c r="J88" s="191">
        <f t="shared" si="9"/>
        <v>2298.608104013791</v>
      </c>
      <c r="K88" s="191">
        <f t="shared" si="12"/>
        <v>-77579.541037190778</v>
      </c>
    </row>
    <row r="89" spans="6:11">
      <c r="F89" s="11">
        <v>82</v>
      </c>
      <c r="G89" s="191">
        <f t="shared" si="10"/>
        <v>-77579.541037190778</v>
      </c>
      <c r="H89" s="191">
        <f t="shared" si="11"/>
        <v>2733.0535338220593</v>
      </c>
      <c r="I89" s="191">
        <f t="shared" si="8"/>
        <v>-434.44542980826844</v>
      </c>
      <c r="J89" s="191">
        <f t="shared" si="9"/>
        <v>2298.608104013791</v>
      </c>
      <c r="K89" s="191">
        <f t="shared" si="12"/>
        <v>-80312.594571012844</v>
      </c>
    </row>
    <row r="90" spans="6:11">
      <c r="F90" s="11">
        <v>83</v>
      </c>
      <c r="G90" s="191">
        <f t="shared" si="10"/>
        <v>-80312.594571012844</v>
      </c>
      <c r="H90" s="191">
        <f t="shared" si="11"/>
        <v>2748.3586336114631</v>
      </c>
      <c r="I90" s="191">
        <f t="shared" si="8"/>
        <v>-449.75052959767197</v>
      </c>
      <c r="J90" s="191">
        <f t="shared" si="9"/>
        <v>2298.608104013791</v>
      </c>
      <c r="K90" s="191">
        <f t="shared" si="12"/>
        <v>-83060.953204624311</v>
      </c>
    </row>
    <row r="91" spans="6:11">
      <c r="F91" s="11">
        <v>84</v>
      </c>
      <c r="G91" s="191">
        <f t="shared" si="10"/>
        <v>-83060.953204624311</v>
      </c>
      <c r="H91" s="191">
        <f t="shared" si="11"/>
        <v>2763.7494419596874</v>
      </c>
      <c r="I91" s="191">
        <f t="shared" si="8"/>
        <v>-465.14133794589623</v>
      </c>
      <c r="J91" s="191">
        <f t="shared" si="9"/>
        <v>2298.608104013791</v>
      </c>
      <c r="K91" s="191">
        <f t="shared" si="12"/>
        <v>-85824.702646584003</v>
      </c>
    </row>
    <row r="92" spans="6:11">
      <c r="F92" s="11">
        <v>85</v>
      </c>
      <c r="G92" s="191">
        <f t="shared" si="10"/>
        <v>-85824.702646584003</v>
      </c>
      <c r="H92" s="191">
        <f t="shared" si="11"/>
        <v>2779.2264388346616</v>
      </c>
      <c r="I92" s="191">
        <f t="shared" si="8"/>
        <v>-480.61833482087047</v>
      </c>
      <c r="J92" s="191">
        <f t="shared" si="9"/>
        <v>2298.608104013791</v>
      </c>
      <c r="K92" s="191">
        <f t="shared" si="12"/>
        <v>-88603.929085418669</v>
      </c>
    </row>
    <row r="93" spans="6:11">
      <c r="F93" s="11">
        <v>86</v>
      </c>
      <c r="G93" s="191">
        <f t="shared" si="10"/>
        <v>-88603.929085418669</v>
      </c>
      <c r="H93" s="191">
        <f t="shared" si="11"/>
        <v>2794.7901068921356</v>
      </c>
      <c r="I93" s="191">
        <f t="shared" si="8"/>
        <v>-496.18200287834463</v>
      </c>
      <c r="J93" s="191">
        <f t="shared" si="9"/>
        <v>2298.608104013791</v>
      </c>
      <c r="K93" s="191">
        <f t="shared" si="12"/>
        <v>-91398.719192310804</v>
      </c>
    </row>
    <row r="94" spans="6:11">
      <c r="F94" s="11">
        <v>87</v>
      </c>
      <c r="G94" s="191">
        <f t="shared" si="10"/>
        <v>-91398.719192310804</v>
      </c>
      <c r="H94" s="191">
        <f t="shared" si="11"/>
        <v>2810.4409314907316</v>
      </c>
      <c r="I94" s="191">
        <f t="shared" si="8"/>
        <v>-511.83282747694057</v>
      </c>
      <c r="J94" s="191">
        <f t="shared" si="9"/>
        <v>2298.608104013791</v>
      </c>
      <c r="K94" s="191">
        <f t="shared" si="12"/>
        <v>-94209.160123801528</v>
      </c>
    </row>
    <row r="95" spans="6:11">
      <c r="F95" s="11">
        <v>88</v>
      </c>
      <c r="G95" s="191">
        <f t="shared" si="10"/>
        <v>-94209.160123801528</v>
      </c>
      <c r="H95" s="191">
        <f t="shared" si="11"/>
        <v>2826.1794007070798</v>
      </c>
      <c r="I95" s="191">
        <f t="shared" si="8"/>
        <v>-527.57129669328867</v>
      </c>
      <c r="J95" s="191">
        <f t="shared" si="9"/>
        <v>2298.608104013791</v>
      </c>
      <c r="K95" s="191">
        <f t="shared" si="12"/>
        <v>-97035.339524508614</v>
      </c>
    </row>
    <row r="96" spans="6:11">
      <c r="F96" s="11">
        <v>89</v>
      </c>
      <c r="G96" s="191">
        <f t="shared" si="10"/>
        <v>-97035.339524508614</v>
      </c>
      <c r="H96" s="191">
        <f t="shared" si="11"/>
        <v>2842.0060053510392</v>
      </c>
      <c r="I96" s="191">
        <f t="shared" si="8"/>
        <v>-543.3979013372483</v>
      </c>
      <c r="J96" s="191">
        <f t="shared" si="9"/>
        <v>2298.608104013791</v>
      </c>
      <c r="K96" s="191">
        <f t="shared" si="12"/>
        <v>-99877.345529859653</v>
      </c>
    </row>
    <row r="97" spans="6:11">
      <c r="F97" s="11">
        <v>90</v>
      </c>
      <c r="G97" s="191">
        <f t="shared" si="10"/>
        <v>-99877.345529859653</v>
      </c>
      <c r="H97" s="191">
        <f t="shared" si="11"/>
        <v>2857.9212389810054</v>
      </c>
      <c r="I97" s="191">
        <f t="shared" si="8"/>
        <v>-559.31313496721418</v>
      </c>
      <c r="J97" s="191">
        <f t="shared" si="9"/>
        <v>2298.608104013791</v>
      </c>
      <c r="K97" s="191">
        <f t="shared" si="12"/>
        <v>-102735.26676884067</v>
      </c>
    </row>
    <row r="98" spans="6:11">
      <c r="F98" s="11">
        <v>91</v>
      </c>
      <c r="G98" s="191">
        <f t="shared" si="10"/>
        <v>-102735.26676884067</v>
      </c>
      <c r="H98" s="191">
        <f t="shared" si="11"/>
        <v>2873.925597919299</v>
      </c>
      <c r="I98" s="191">
        <f t="shared" si="8"/>
        <v>-575.31749390550783</v>
      </c>
      <c r="J98" s="191">
        <f t="shared" si="9"/>
        <v>2298.608104013791</v>
      </c>
      <c r="K98" s="191">
        <f t="shared" si="12"/>
        <v>-105609.19236675996</v>
      </c>
    </row>
    <row r="99" spans="6:11">
      <c r="F99" s="11">
        <v>92</v>
      </c>
      <c r="G99" s="191">
        <f t="shared" si="10"/>
        <v>-105609.19236675996</v>
      </c>
      <c r="H99" s="191">
        <f t="shared" si="11"/>
        <v>2890.019581267647</v>
      </c>
      <c r="I99" s="191">
        <f t="shared" si="8"/>
        <v>-591.41147725385588</v>
      </c>
      <c r="J99" s="191">
        <f t="shared" si="9"/>
        <v>2298.608104013791</v>
      </c>
      <c r="K99" s="191">
        <f t="shared" si="12"/>
        <v>-108499.21194802762</v>
      </c>
    </row>
    <row r="100" spans="6:11">
      <c r="F100" s="11">
        <v>93</v>
      </c>
      <c r="G100" s="191">
        <f t="shared" si="10"/>
        <v>-108499.21194802762</v>
      </c>
      <c r="H100" s="191">
        <f t="shared" si="11"/>
        <v>2906.2036909227459</v>
      </c>
      <c r="I100" s="191">
        <f t="shared" si="8"/>
        <v>-607.59558690895471</v>
      </c>
      <c r="J100" s="191">
        <f t="shared" si="9"/>
        <v>2298.608104013791</v>
      </c>
      <c r="K100" s="191">
        <f t="shared" si="12"/>
        <v>-111405.41563895036</v>
      </c>
    </row>
    <row r="101" spans="6:11">
      <c r="F101" s="11">
        <v>94</v>
      </c>
      <c r="G101" s="191">
        <f t="shared" si="10"/>
        <v>-111405.41563895036</v>
      </c>
      <c r="H101" s="191">
        <f t="shared" si="11"/>
        <v>2922.4784315919132</v>
      </c>
      <c r="I101" s="191">
        <f t="shared" si="8"/>
        <v>-623.8703275781221</v>
      </c>
      <c r="J101" s="191">
        <f t="shared" si="9"/>
        <v>2298.608104013791</v>
      </c>
      <c r="K101" s="191">
        <f t="shared" si="12"/>
        <v>-114327.89407054227</v>
      </c>
    </row>
    <row r="102" spans="6:11">
      <c r="F102" s="11">
        <v>95</v>
      </c>
      <c r="G102" s="191">
        <f t="shared" si="10"/>
        <v>-114327.89407054227</v>
      </c>
      <c r="H102" s="191">
        <f t="shared" si="11"/>
        <v>2938.8443108088277</v>
      </c>
      <c r="I102" s="191">
        <f t="shared" si="8"/>
        <v>-640.23620679503676</v>
      </c>
      <c r="J102" s="191">
        <f t="shared" si="9"/>
        <v>2298.608104013791</v>
      </c>
      <c r="K102" s="191">
        <f t="shared" si="12"/>
        <v>-117266.7383813511</v>
      </c>
    </row>
    <row r="103" spans="6:11">
      <c r="F103" s="11">
        <v>96</v>
      </c>
      <c r="G103" s="191">
        <f t="shared" si="10"/>
        <v>-117266.7383813511</v>
      </c>
      <c r="H103" s="191">
        <f t="shared" si="11"/>
        <v>2955.3018389493573</v>
      </c>
      <c r="I103" s="191">
        <f t="shared" si="8"/>
        <v>-656.69373493556623</v>
      </c>
      <c r="J103" s="191">
        <f t="shared" si="9"/>
        <v>2298.608104013791</v>
      </c>
      <c r="K103" s="191">
        <f t="shared" si="12"/>
        <v>-120222.04022030045</v>
      </c>
    </row>
    <row r="104" spans="6:11">
      <c r="F104" s="11">
        <v>97</v>
      </c>
      <c r="G104" s="191">
        <f t="shared" si="10"/>
        <v>-120222.04022030045</v>
      </c>
      <c r="H104" s="191">
        <f t="shared" si="11"/>
        <v>2971.8515292474735</v>
      </c>
      <c r="I104" s="191">
        <f t="shared" si="8"/>
        <v>-673.24342523368261</v>
      </c>
      <c r="J104" s="191">
        <f t="shared" si="9"/>
        <v>2298.608104013791</v>
      </c>
      <c r="K104" s="191">
        <f t="shared" si="12"/>
        <v>-123193.89174954793</v>
      </c>
    </row>
    <row r="105" spans="6:11">
      <c r="F105" s="11">
        <v>98</v>
      </c>
      <c r="G105" s="191">
        <f t="shared" si="10"/>
        <v>-123193.89174954793</v>
      </c>
      <c r="H105" s="191">
        <f t="shared" si="11"/>
        <v>2988.4938978112596</v>
      </c>
      <c r="I105" s="191">
        <f t="shared" si="8"/>
        <v>-689.88579379746852</v>
      </c>
      <c r="J105" s="191">
        <f t="shared" si="9"/>
        <v>2298.608104013791</v>
      </c>
      <c r="K105" s="191">
        <f t="shared" si="12"/>
        <v>-126182.38564735919</v>
      </c>
    </row>
    <row r="106" spans="6:11">
      <c r="F106" s="11">
        <v>99</v>
      </c>
      <c r="G106" s="191">
        <f t="shared" si="10"/>
        <v>-126182.38564735919</v>
      </c>
      <c r="H106" s="191">
        <f t="shared" si="11"/>
        <v>3005.2294636390025</v>
      </c>
      <c r="I106" s="191">
        <f t="shared" si="8"/>
        <v>-706.62135962521154</v>
      </c>
      <c r="J106" s="191">
        <f t="shared" si="9"/>
        <v>2298.608104013791</v>
      </c>
      <c r="K106" s="191">
        <f t="shared" si="12"/>
        <v>-129187.61511099819</v>
      </c>
    </row>
    <row r="107" spans="6:11">
      <c r="F107" s="11">
        <v>100</v>
      </c>
      <c r="G107" s="191">
        <f t="shared" si="10"/>
        <v>-129187.61511099819</v>
      </c>
      <c r="H107" s="191">
        <f t="shared" si="11"/>
        <v>3022.0587486353811</v>
      </c>
      <c r="I107" s="191">
        <f t="shared" si="8"/>
        <v>-723.45064462158996</v>
      </c>
      <c r="J107" s="191">
        <f t="shared" si="9"/>
        <v>2298.608104013791</v>
      </c>
      <c r="K107" s="191">
        <f t="shared" si="12"/>
        <v>-132209.67385963356</v>
      </c>
    </row>
    <row r="108" spans="6:11">
      <c r="F108" s="11">
        <v>101</v>
      </c>
      <c r="G108" s="191">
        <f t="shared" si="10"/>
        <v>-132209.67385963356</v>
      </c>
      <c r="H108" s="191">
        <f t="shared" si="11"/>
        <v>3038.9822776277392</v>
      </c>
      <c r="I108" s="191">
        <f t="shared" si="8"/>
        <v>-740.37417361394807</v>
      </c>
      <c r="J108" s="191">
        <f t="shared" si="9"/>
        <v>2298.608104013791</v>
      </c>
      <c r="K108" s="191">
        <f t="shared" si="12"/>
        <v>-135248.65613726131</v>
      </c>
    </row>
    <row r="109" spans="6:11">
      <c r="F109" s="11">
        <v>102</v>
      </c>
      <c r="G109" s="191">
        <f t="shared" si="10"/>
        <v>-135248.65613726131</v>
      </c>
      <c r="H109" s="191">
        <f t="shared" si="11"/>
        <v>3056.0005783824545</v>
      </c>
      <c r="I109" s="191">
        <f t="shared" si="8"/>
        <v>-757.39247436866344</v>
      </c>
      <c r="J109" s="191">
        <f t="shared" si="9"/>
        <v>2298.608104013791</v>
      </c>
      <c r="K109" s="191">
        <f t="shared" si="12"/>
        <v>-138304.65671564377</v>
      </c>
    </row>
    <row r="110" spans="6:11">
      <c r="F110" s="11">
        <v>103</v>
      </c>
      <c r="G110" s="191">
        <f t="shared" si="10"/>
        <v>-138304.65671564377</v>
      </c>
      <c r="H110" s="191">
        <f t="shared" si="11"/>
        <v>3073.1141816213963</v>
      </c>
      <c r="I110" s="191">
        <f t="shared" si="8"/>
        <v>-774.50607760760522</v>
      </c>
      <c r="J110" s="191">
        <f t="shared" si="9"/>
        <v>2298.608104013791</v>
      </c>
      <c r="K110" s="191">
        <f t="shared" si="12"/>
        <v>-141377.77089726517</v>
      </c>
    </row>
    <row r="111" spans="6:11">
      <c r="F111" s="195">
        <v>104</v>
      </c>
      <c r="G111" s="192">
        <f t="shared" si="10"/>
        <v>-141377.77089726517</v>
      </c>
      <c r="H111" s="192">
        <f t="shared" si="11"/>
        <v>3090.3236210384762</v>
      </c>
      <c r="I111" s="191">
        <f t="shared" si="8"/>
        <v>-791.71551702468514</v>
      </c>
      <c r="J111" s="192">
        <f t="shared" si="9"/>
        <v>2298.608104013791</v>
      </c>
      <c r="K111" s="192">
        <f t="shared" si="12"/>
        <v>-144468.09451830364</v>
      </c>
    </row>
    <row r="112" spans="6:11">
      <c r="F112" s="11">
        <v>105</v>
      </c>
      <c r="G112" s="191">
        <f t="shared" si="10"/>
        <v>-144468.09451830364</v>
      </c>
      <c r="H112" s="191">
        <f t="shared" si="11"/>
        <v>3107.6294333162914</v>
      </c>
      <c r="I112" s="191">
        <f t="shared" si="8"/>
        <v>-809.02132930250048</v>
      </c>
      <c r="J112" s="191">
        <f t="shared" si="9"/>
        <v>2298.608104013791</v>
      </c>
      <c r="K112" s="191">
        <f t="shared" si="12"/>
        <v>-147575.72395161993</v>
      </c>
    </row>
    <row r="113" spans="6:11">
      <c r="F113" s="11">
        <v>106</v>
      </c>
      <c r="G113" s="191">
        <f t="shared" si="10"/>
        <v>-147575.72395161993</v>
      </c>
      <c r="H113" s="191">
        <f t="shared" si="11"/>
        <v>3125.0321581428625</v>
      </c>
      <c r="I113" s="191">
        <f t="shared" si="8"/>
        <v>-826.42405412907169</v>
      </c>
      <c r="J113" s="191">
        <f t="shared" si="9"/>
        <v>2298.608104013791</v>
      </c>
      <c r="K113" s="191">
        <f t="shared" si="12"/>
        <v>-150700.75610976279</v>
      </c>
    </row>
    <row r="114" spans="6:11">
      <c r="F114" s="11">
        <v>107</v>
      </c>
      <c r="G114" s="191">
        <f t="shared" si="10"/>
        <v>-150700.75610976279</v>
      </c>
      <c r="H114" s="191">
        <f t="shared" si="11"/>
        <v>3142.5323382284628</v>
      </c>
      <c r="I114" s="191">
        <f t="shared" si="8"/>
        <v>-843.92423421467174</v>
      </c>
      <c r="J114" s="191">
        <f t="shared" si="9"/>
        <v>2298.608104013791</v>
      </c>
      <c r="K114" s="191">
        <f t="shared" si="12"/>
        <v>-153843.28844799125</v>
      </c>
    </row>
    <row r="115" spans="6:11">
      <c r="F115" s="11">
        <v>108</v>
      </c>
      <c r="G115" s="191">
        <f t="shared" si="10"/>
        <v>-153843.28844799125</v>
      </c>
      <c r="H115" s="191">
        <f t="shared" si="11"/>
        <v>3160.1305193225421</v>
      </c>
      <c r="I115" s="191">
        <f t="shared" si="8"/>
        <v>-861.52241530875108</v>
      </c>
      <c r="J115" s="191">
        <f t="shared" si="9"/>
        <v>2298.608104013791</v>
      </c>
      <c r="K115" s="191">
        <f t="shared" si="12"/>
        <v>-157003.4189673138</v>
      </c>
    </row>
    <row r="116" spans="6:11">
      <c r="F116" s="11">
        <v>109</v>
      </c>
      <c r="G116" s="191">
        <f t="shared" si="10"/>
        <v>-157003.4189673138</v>
      </c>
      <c r="H116" s="191">
        <f t="shared" si="11"/>
        <v>3177.8272502307482</v>
      </c>
      <c r="I116" s="191">
        <f t="shared" si="8"/>
        <v>-879.21914621695737</v>
      </c>
      <c r="J116" s="191">
        <f t="shared" si="9"/>
        <v>2298.608104013791</v>
      </c>
      <c r="K116" s="191">
        <f t="shared" si="12"/>
        <v>-160181.24621754454</v>
      </c>
    </row>
    <row r="117" spans="6:11">
      <c r="F117" s="11">
        <v>110</v>
      </c>
      <c r="G117" s="191">
        <f t="shared" si="10"/>
        <v>-160181.24621754454</v>
      </c>
      <c r="H117" s="191">
        <f t="shared" si="11"/>
        <v>3195.6230828320404</v>
      </c>
      <c r="I117" s="191">
        <f t="shared" si="8"/>
        <v>-897.01497881824957</v>
      </c>
      <c r="J117" s="191">
        <f t="shared" si="9"/>
        <v>2298.608104013791</v>
      </c>
      <c r="K117" s="191">
        <f t="shared" si="12"/>
        <v>-163376.86930037657</v>
      </c>
    </row>
    <row r="118" spans="6:11">
      <c r="F118" s="11">
        <v>111</v>
      </c>
      <c r="G118" s="191">
        <f t="shared" si="10"/>
        <v>-163376.86930037657</v>
      </c>
      <c r="H118" s="191">
        <f t="shared" si="11"/>
        <v>3213.5185720958998</v>
      </c>
      <c r="I118" s="191">
        <f t="shared" si="8"/>
        <v>-914.91046808210888</v>
      </c>
      <c r="J118" s="191">
        <f t="shared" si="9"/>
        <v>2298.608104013791</v>
      </c>
      <c r="K118" s="191">
        <f t="shared" si="12"/>
        <v>-166590.38787247246</v>
      </c>
    </row>
    <row r="119" spans="6:11">
      <c r="F119" s="11">
        <v>112</v>
      </c>
      <c r="G119" s="191">
        <f t="shared" si="10"/>
        <v>-166590.38787247246</v>
      </c>
      <c r="H119" s="191">
        <f t="shared" si="11"/>
        <v>3231.5142760996368</v>
      </c>
      <c r="I119" s="191">
        <f t="shared" si="8"/>
        <v>-932.90617208584592</v>
      </c>
      <c r="J119" s="191">
        <f t="shared" si="9"/>
        <v>2298.608104013791</v>
      </c>
      <c r="K119" s="191">
        <f t="shared" si="12"/>
        <v>-169821.90214857209</v>
      </c>
    </row>
    <row r="120" spans="6:11">
      <c r="F120" s="11">
        <v>113</v>
      </c>
      <c r="G120" s="191">
        <f t="shared" si="10"/>
        <v>-169821.90214857209</v>
      </c>
      <c r="H120" s="191">
        <f t="shared" si="11"/>
        <v>3249.6107560457949</v>
      </c>
      <c r="I120" s="191">
        <f t="shared" si="8"/>
        <v>-951.00265203200388</v>
      </c>
      <c r="J120" s="191">
        <f t="shared" si="9"/>
        <v>2298.608104013791</v>
      </c>
      <c r="K120" s="191">
        <f t="shared" si="12"/>
        <v>-173071.51290461788</v>
      </c>
    </row>
    <row r="121" spans="6:11">
      <c r="F121" s="11">
        <v>114</v>
      </c>
      <c r="G121" s="191">
        <f t="shared" si="10"/>
        <v>-173071.51290461788</v>
      </c>
      <c r="H121" s="191">
        <f t="shared" si="11"/>
        <v>3267.8085762796513</v>
      </c>
      <c r="I121" s="191">
        <f t="shared" si="8"/>
        <v>-969.2004722658603</v>
      </c>
      <c r="J121" s="191">
        <f t="shared" si="9"/>
        <v>2298.608104013791</v>
      </c>
      <c r="K121" s="191">
        <f t="shared" si="12"/>
        <v>-176339.32148089752</v>
      </c>
    </row>
    <row r="122" spans="6:11">
      <c r="F122" s="11">
        <v>115</v>
      </c>
      <c r="G122" s="191">
        <f t="shared" si="10"/>
        <v>-176339.32148089752</v>
      </c>
      <c r="H122" s="191">
        <f t="shared" si="11"/>
        <v>3286.1083043068174</v>
      </c>
      <c r="I122" s="191">
        <f t="shared" si="8"/>
        <v>-987.50020029302618</v>
      </c>
      <c r="J122" s="191">
        <f t="shared" si="9"/>
        <v>2298.608104013791</v>
      </c>
      <c r="K122" s="191">
        <f t="shared" si="12"/>
        <v>-179625.42978520432</v>
      </c>
    </row>
    <row r="123" spans="6:11">
      <c r="F123" s="11">
        <v>116</v>
      </c>
      <c r="G123" s="191">
        <f t="shared" si="10"/>
        <v>-179625.42978520432</v>
      </c>
      <c r="H123" s="191">
        <f t="shared" si="11"/>
        <v>3304.5105108109356</v>
      </c>
      <c r="I123" s="191">
        <f t="shared" si="8"/>
        <v>-1005.9024067971444</v>
      </c>
      <c r="J123" s="191">
        <f t="shared" si="9"/>
        <v>2298.608104013791</v>
      </c>
      <c r="K123" s="191">
        <f t="shared" si="12"/>
        <v>-182929.94029601527</v>
      </c>
    </row>
    <row r="124" spans="6:11">
      <c r="F124" s="11">
        <v>117</v>
      </c>
      <c r="G124" s="191">
        <f t="shared" si="10"/>
        <v>-182929.94029601527</v>
      </c>
      <c r="H124" s="191">
        <f t="shared" si="11"/>
        <v>3323.0157696714768</v>
      </c>
      <c r="I124" s="191">
        <f t="shared" si="8"/>
        <v>-1024.4076656576856</v>
      </c>
      <c r="J124" s="191">
        <f t="shared" si="9"/>
        <v>2298.608104013791</v>
      </c>
      <c r="K124" s="191">
        <f t="shared" si="12"/>
        <v>-186252.95606568674</v>
      </c>
    </row>
    <row r="125" spans="6:11">
      <c r="F125" s="11">
        <v>118</v>
      </c>
      <c r="G125" s="191">
        <f t="shared" si="10"/>
        <v>-186252.95606568674</v>
      </c>
      <c r="H125" s="191">
        <f t="shared" si="11"/>
        <v>3341.624657981637</v>
      </c>
      <c r="I125" s="191">
        <f t="shared" si="8"/>
        <v>-1043.016553967846</v>
      </c>
      <c r="J125" s="191">
        <f t="shared" si="9"/>
        <v>2298.608104013791</v>
      </c>
      <c r="K125" s="191">
        <f t="shared" si="12"/>
        <v>-189594.58072366839</v>
      </c>
    </row>
    <row r="126" spans="6:11">
      <c r="F126" s="11">
        <v>119</v>
      </c>
      <c r="G126" s="191">
        <f t="shared" si="10"/>
        <v>-189594.58072366839</v>
      </c>
      <c r="H126" s="191">
        <f t="shared" si="11"/>
        <v>3360.3377560663339</v>
      </c>
      <c r="I126" s="191">
        <f t="shared" si="8"/>
        <v>-1061.7296520525431</v>
      </c>
      <c r="J126" s="191">
        <f t="shared" si="9"/>
        <v>2298.608104013791</v>
      </c>
      <c r="K126" s="191">
        <f t="shared" si="12"/>
        <v>-192954.91847973471</v>
      </c>
    </row>
    <row r="127" spans="6:11">
      <c r="F127" s="11">
        <v>120</v>
      </c>
      <c r="G127" s="191">
        <f t="shared" si="10"/>
        <v>-192954.91847973471</v>
      </c>
      <c r="H127" s="191">
        <f t="shared" si="11"/>
        <v>3379.1556475003053</v>
      </c>
      <c r="I127" s="191">
        <f t="shared" si="8"/>
        <v>-1080.5475434865145</v>
      </c>
      <c r="J127" s="191">
        <f t="shared" si="9"/>
        <v>2298.608104013791</v>
      </c>
      <c r="K127" s="191">
        <f t="shared" si="12"/>
        <v>-196334.07412723501</v>
      </c>
    </row>
    <row r="128" spans="6:11">
      <c r="F128" s="11">
        <v>121</v>
      </c>
      <c r="G128" s="191">
        <f t="shared" si="10"/>
        <v>-196334.07412723501</v>
      </c>
      <c r="H128" s="191">
        <f t="shared" si="11"/>
        <v>3398.0789191263075</v>
      </c>
      <c r="I128" s="191">
        <f t="shared" si="8"/>
        <v>-1099.4708151125162</v>
      </c>
      <c r="J128" s="191">
        <f t="shared" si="9"/>
        <v>2298.608104013791</v>
      </c>
      <c r="K128" s="191">
        <f t="shared" si="12"/>
        <v>-199732.15304636132</v>
      </c>
    </row>
    <row r="129" spans="6:11">
      <c r="F129" s="11">
        <v>122</v>
      </c>
      <c r="G129" s="191">
        <f t="shared" si="10"/>
        <v>-199732.15304636132</v>
      </c>
      <c r="H129" s="191">
        <f t="shared" si="11"/>
        <v>3417.1081610734145</v>
      </c>
      <c r="I129" s="191">
        <f t="shared" si="8"/>
        <v>-1118.5000570596235</v>
      </c>
      <c r="J129" s="191">
        <f t="shared" si="9"/>
        <v>2298.608104013791</v>
      </c>
      <c r="K129" s="191">
        <f t="shared" si="12"/>
        <v>-203149.26120743473</v>
      </c>
    </row>
    <row r="130" spans="6:11">
      <c r="F130" s="11">
        <v>123</v>
      </c>
      <c r="G130" s="191">
        <f t="shared" si="10"/>
        <v>-203149.26120743473</v>
      </c>
      <c r="H130" s="191">
        <f t="shared" si="11"/>
        <v>3436.2439667754256</v>
      </c>
      <c r="I130" s="191">
        <f t="shared" si="8"/>
        <v>-1137.6358627616346</v>
      </c>
      <c r="J130" s="191">
        <f t="shared" si="9"/>
        <v>2298.608104013791</v>
      </c>
      <c r="K130" s="191">
        <f t="shared" si="12"/>
        <v>-206585.50517421015</v>
      </c>
    </row>
    <row r="131" spans="6:11">
      <c r="F131" s="11">
        <v>124</v>
      </c>
      <c r="G131" s="191">
        <f t="shared" si="10"/>
        <v>-206585.50517421015</v>
      </c>
      <c r="H131" s="191">
        <f t="shared" si="11"/>
        <v>3455.4869329893681</v>
      </c>
      <c r="I131" s="191">
        <f t="shared" si="8"/>
        <v>-1156.8788289755771</v>
      </c>
      <c r="J131" s="191">
        <f t="shared" si="9"/>
        <v>2298.608104013791</v>
      </c>
      <c r="K131" s="191">
        <f t="shared" si="12"/>
        <v>-210040.9921071995</v>
      </c>
    </row>
    <row r="132" spans="6:11">
      <c r="F132" s="11">
        <v>125</v>
      </c>
      <c r="G132" s="191">
        <f t="shared" si="10"/>
        <v>-210040.9921071995</v>
      </c>
      <c r="H132" s="191">
        <f t="shared" si="11"/>
        <v>3474.8376598141085</v>
      </c>
      <c r="I132" s="191">
        <f t="shared" si="8"/>
        <v>-1176.2295558003175</v>
      </c>
      <c r="J132" s="191">
        <f t="shared" si="9"/>
        <v>2298.608104013791</v>
      </c>
      <c r="K132" s="191">
        <f t="shared" si="12"/>
        <v>-213515.82976701361</v>
      </c>
    </row>
    <row r="133" spans="6:11">
      <c r="F133" s="11">
        <v>126</v>
      </c>
      <c r="G133" s="191">
        <f t="shared" si="10"/>
        <v>-213515.82976701361</v>
      </c>
      <c r="H133" s="191">
        <f t="shared" si="11"/>
        <v>3494.2967507090675</v>
      </c>
      <c r="I133" s="191">
        <f t="shared" si="8"/>
        <v>-1195.6886466952765</v>
      </c>
      <c r="J133" s="191">
        <f t="shared" si="9"/>
        <v>2298.608104013791</v>
      </c>
      <c r="K133" s="191">
        <f t="shared" si="12"/>
        <v>-217010.12651772267</v>
      </c>
    </row>
    <row r="134" spans="6:11">
      <c r="F134" s="11">
        <v>127</v>
      </c>
      <c r="G134" s="191">
        <f t="shared" si="10"/>
        <v>-217010.12651772267</v>
      </c>
      <c r="H134" s="191">
        <f t="shared" si="11"/>
        <v>3513.8648125130385</v>
      </c>
      <c r="I134" s="191">
        <f t="shared" si="8"/>
        <v>-1215.2567084992472</v>
      </c>
      <c r="J134" s="191">
        <f t="shared" si="9"/>
        <v>2298.608104013791</v>
      </c>
      <c r="K134" s="191">
        <f t="shared" si="12"/>
        <v>-220523.9913302357</v>
      </c>
    </row>
    <row r="135" spans="6:11">
      <c r="F135" s="11">
        <v>128</v>
      </c>
      <c r="G135" s="191">
        <f t="shared" si="10"/>
        <v>-220523.9913302357</v>
      </c>
      <c r="H135" s="191">
        <f t="shared" si="11"/>
        <v>3533.5424554631109</v>
      </c>
      <c r="I135" s="191">
        <f t="shared" si="8"/>
        <v>-1234.93435144932</v>
      </c>
      <c r="J135" s="191">
        <f t="shared" si="9"/>
        <v>2298.608104013791</v>
      </c>
      <c r="K135" s="191">
        <f t="shared" si="12"/>
        <v>-224057.53378569882</v>
      </c>
    </row>
    <row r="136" spans="6:11">
      <c r="F136" s="11">
        <v>129</v>
      </c>
      <c r="G136" s="191">
        <f t="shared" si="10"/>
        <v>-224057.53378569882</v>
      </c>
      <c r="H136" s="191">
        <f t="shared" si="11"/>
        <v>3553.3302932137049</v>
      </c>
      <c r="I136" s="191">
        <f t="shared" si="8"/>
        <v>-1254.7221891999136</v>
      </c>
      <c r="J136" s="191">
        <f t="shared" si="9"/>
        <v>2298.608104013791</v>
      </c>
      <c r="K136" s="191">
        <f t="shared" si="12"/>
        <v>-227610.86407891253</v>
      </c>
    </row>
    <row r="137" spans="6:11">
      <c r="F137" s="11">
        <v>130</v>
      </c>
      <c r="G137" s="191">
        <f t="shared" si="10"/>
        <v>-227610.86407891253</v>
      </c>
      <c r="H137" s="191">
        <f t="shared" si="11"/>
        <v>3573.2289428557015</v>
      </c>
      <c r="I137" s="191">
        <f t="shared" ref="I137:I163" si="13">G137*$J$4</f>
        <v>-1274.6208388419104</v>
      </c>
      <c r="J137" s="191">
        <f t="shared" si="9"/>
        <v>2298.608104013791</v>
      </c>
      <c r="K137" s="191">
        <f t="shared" si="12"/>
        <v>-231184.09302176823</v>
      </c>
    </row>
    <row r="138" spans="6:11">
      <c r="F138" s="11">
        <v>131</v>
      </c>
      <c r="G138" s="191">
        <f t="shared" si="10"/>
        <v>-231184.09302176823</v>
      </c>
      <c r="H138" s="191">
        <f t="shared" si="11"/>
        <v>3593.2390249356931</v>
      </c>
      <c r="I138" s="191">
        <f t="shared" si="13"/>
        <v>-1294.6309209219023</v>
      </c>
      <c r="J138" s="191">
        <f t="shared" ref="J138:J163" si="14">$I$4</f>
        <v>2298.608104013791</v>
      </c>
      <c r="K138" s="191">
        <f t="shared" si="12"/>
        <v>-234777.33204670393</v>
      </c>
    </row>
    <row r="139" spans="6:11">
      <c r="F139" s="11">
        <v>132</v>
      </c>
      <c r="G139" s="191">
        <f t="shared" si="10"/>
        <v>-234777.33204670393</v>
      </c>
      <c r="H139" s="191">
        <f t="shared" si="11"/>
        <v>3613.3611634753333</v>
      </c>
      <c r="I139" s="191">
        <f t="shared" si="13"/>
        <v>-1314.7530594615423</v>
      </c>
      <c r="J139" s="191">
        <f t="shared" si="14"/>
        <v>2298.608104013791</v>
      </c>
      <c r="K139" s="191">
        <f t="shared" si="12"/>
        <v>-238390.69321017928</v>
      </c>
    </row>
    <row r="140" spans="6:11">
      <c r="F140" s="11">
        <v>133</v>
      </c>
      <c r="G140" s="191">
        <f t="shared" si="10"/>
        <v>-238390.69321017928</v>
      </c>
      <c r="H140" s="191">
        <f t="shared" si="11"/>
        <v>3633.5959859907953</v>
      </c>
      <c r="I140" s="191">
        <f t="shared" si="13"/>
        <v>-1334.9878819770042</v>
      </c>
      <c r="J140" s="191">
        <f t="shared" si="14"/>
        <v>2298.608104013791</v>
      </c>
      <c r="K140" s="191">
        <f t="shared" si="12"/>
        <v>-242024.28919617008</v>
      </c>
    </row>
    <row r="141" spans="6:11">
      <c r="F141" s="11">
        <v>134</v>
      </c>
      <c r="G141" s="191">
        <f t="shared" si="10"/>
        <v>-242024.28919617008</v>
      </c>
      <c r="H141" s="191">
        <f t="shared" si="11"/>
        <v>3653.9441235123436</v>
      </c>
      <c r="I141" s="191">
        <f t="shared" si="13"/>
        <v>-1355.3360194985526</v>
      </c>
      <c r="J141" s="191">
        <f t="shared" si="14"/>
        <v>2298.608104013791</v>
      </c>
      <c r="K141" s="191">
        <f t="shared" si="12"/>
        <v>-245678.23331968242</v>
      </c>
    </row>
    <row r="142" spans="6:11">
      <c r="F142" s="11">
        <v>135</v>
      </c>
      <c r="G142" s="191">
        <f t="shared" si="10"/>
        <v>-245678.23331968242</v>
      </c>
      <c r="H142" s="191">
        <f t="shared" si="11"/>
        <v>3674.4062106040128</v>
      </c>
      <c r="I142" s="191">
        <f t="shared" si="13"/>
        <v>-1375.7981065902218</v>
      </c>
      <c r="J142" s="191">
        <f t="shared" si="14"/>
        <v>2298.608104013791</v>
      </c>
      <c r="K142" s="191">
        <f t="shared" si="12"/>
        <v>-249352.63953028643</v>
      </c>
    </row>
    <row r="143" spans="6:11">
      <c r="F143" s="11">
        <v>136</v>
      </c>
      <c r="G143" s="191">
        <f t="shared" ref="G143:G163" si="15">K142</f>
        <v>-249352.63953028643</v>
      </c>
      <c r="H143" s="191">
        <f t="shared" ref="H143:H163" si="16">J143-I143</f>
        <v>3694.9828853833951</v>
      </c>
      <c r="I143" s="191">
        <f t="shared" si="13"/>
        <v>-1396.3747813696041</v>
      </c>
      <c r="J143" s="191">
        <f t="shared" si="14"/>
        <v>2298.608104013791</v>
      </c>
      <c r="K143" s="191">
        <f t="shared" ref="K143:K163" si="17">G143-H143</f>
        <v>-253047.62241566982</v>
      </c>
    </row>
    <row r="144" spans="6:11">
      <c r="F144" s="11">
        <v>137</v>
      </c>
      <c r="G144" s="191">
        <f t="shared" si="15"/>
        <v>-253047.62241566982</v>
      </c>
      <c r="H144" s="191">
        <f t="shared" si="16"/>
        <v>3715.6747895415419</v>
      </c>
      <c r="I144" s="191">
        <f t="shared" si="13"/>
        <v>-1417.0666855277511</v>
      </c>
      <c r="J144" s="191">
        <f t="shared" si="14"/>
        <v>2298.608104013791</v>
      </c>
      <c r="K144" s="191">
        <f t="shared" si="17"/>
        <v>-256763.29720521136</v>
      </c>
    </row>
    <row r="145" spans="6:11">
      <c r="F145" s="11">
        <v>138</v>
      </c>
      <c r="G145" s="191">
        <f t="shared" si="15"/>
        <v>-256763.29720521136</v>
      </c>
      <c r="H145" s="191">
        <f t="shared" si="16"/>
        <v>3736.4825683629751</v>
      </c>
      <c r="I145" s="191">
        <f t="shared" si="13"/>
        <v>-1437.8744643491839</v>
      </c>
      <c r="J145" s="191">
        <f t="shared" si="14"/>
        <v>2298.608104013791</v>
      </c>
      <c r="K145" s="191">
        <f t="shared" si="17"/>
        <v>-260499.77977357432</v>
      </c>
    </row>
    <row r="146" spans="6:11">
      <c r="F146" s="11">
        <v>139</v>
      </c>
      <c r="G146" s="191">
        <f t="shared" si="15"/>
        <v>-260499.77977357432</v>
      </c>
      <c r="H146" s="191">
        <f t="shared" si="16"/>
        <v>3757.4068707458073</v>
      </c>
      <c r="I146" s="191">
        <f t="shared" si="13"/>
        <v>-1458.7987667320165</v>
      </c>
      <c r="J146" s="191">
        <f t="shared" si="14"/>
        <v>2298.608104013791</v>
      </c>
      <c r="K146" s="191">
        <f t="shared" si="17"/>
        <v>-264257.18664432014</v>
      </c>
    </row>
    <row r="147" spans="6:11">
      <c r="F147" s="11">
        <v>140</v>
      </c>
      <c r="G147" s="191">
        <f t="shared" si="15"/>
        <v>-264257.18664432014</v>
      </c>
      <c r="H147" s="191">
        <f t="shared" si="16"/>
        <v>3778.4483492219842</v>
      </c>
      <c r="I147" s="191">
        <f t="shared" si="13"/>
        <v>-1479.840245208193</v>
      </c>
      <c r="J147" s="191">
        <f t="shared" si="14"/>
        <v>2298.608104013791</v>
      </c>
      <c r="K147" s="191">
        <f t="shared" si="17"/>
        <v>-268035.6349935421</v>
      </c>
    </row>
    <row r="148" spans="6:11">
      <c r="F148" s="11">
        <v>141</v>
      </c>
      <c r="G148" s="191">
        <f t="shared" si="15"/>
        <v>-268035.6349935421</v>
      </c>
      <c r="H148" s="191">
        <f t="shared" si="16"/>
        <v>3799.607659977627</v>
      </c>
      <c r="I148" s="191">
        <f t="shared" si="13"/>
        <v>-1500.999555963836</v>
      </c>
      <c r="J148" s="191">
        <f t="shared" si="14"/>
        <v>2298.608104013791</v>
      </c>
      <c r="K148" s="191">
        <f t="shared" si="17"/>
        <v>-271835.24265351973</v>
      </c>
    </row>
    <row r="149" spans="6:11">
      <c r="F149" s="11">
        <v>142</v>
      </c>
      <c r="G149" s="191">
        <f t="shared" si="15"/>
        <v>-271835.24265351973</v>
      </c>
      <c r="H149" s="191">
        <f t="shared" si="16"/>
        <v>3820.8854628735016</v>
      </c>
      <c r="I149" s="191">
        <f t="shared" si="13"/>
        <v>-1522.2773588597106</v>
      </c>
      <c r="J149" s="191">
        <f t="shared" si="14"/>
        <v>2298.608104013791</v>
      </c>
      <c r="K149" s="191">
        <f t="shared" si="17"/>
        <v>-275656.12811639323</v>
      </c>
    </row>
    <row r="150" spans="6:11">
      <c r="F150" s="11">
        <v>143</v>
      </c>
      <c r="G150" s="191">
        <f t="shared" si="15"/>
        <v>-275656.12811639323</v>
      </c>
      <c r="H150" s="191">
        <f t="shared" si="16"/>
        <v>3842.2824214655934</v>
      </c>
      <c r="I150" s="191">
        <f t="shared" si="13"/>
        <v>-1543.6743174518024</v>
      </c>
      <c r="J150" s="191">
        <f t="shared" si="14"/>
        <v>2298.608104013791</v>
      </c>
      <c r="K150" s="191">
        <f t="shared" si="17"/>
        <v>-279498.41053785884</v>
      </c>
    </row>
    <row r="151" spans="6:11">
      <c r="F151" s="11">
        <v>144</v>
      </c>
      <c r="G151" s="191">
        <f t="shared" si="15"/>
        <v>-279498.41053785884</v>
      </c>
      <c r="H151" s="191">
        <f t="shared" si="16"/>
        <v>3863.799203025801</v>
      </c>
      <c r="I151" s="191">
        <f t="shared" si="13"/>
        <v>-1565.1910990120098</v>
      </c>
      <c r="J151" s="191">
        <f t="shared" si="14"/>
        <v>2298.608104013791</v>
      </c>
      <c r="K151" s="191">
        <f t="shared" si="17"/>
        <v>-283362.20974088466</v>
      </c>
    </row>
    <row r="152" spans="6:11">
      <c r="F152" s="11">
        <v>145</v>
      </c>
      <c r="G152" s="191">
        <f t="shared" si="15"/>
        <v>-283362.20974088466</v>
      </c>
      <c r="H152" s="191">
        <f t="shared" si="16"/>
        <v>3885.4364785627454</v>
      </c>
      <c r="I152" s="191">
        <f t="shared" si="13"/>
        <v>-1586.8283745489543</v>
      </c>
      <c r="J152" s="191">
        <f t="shared" si="14"/>
        <v>2298.608104013791</v>
      </c>
      <c r="K152" s="191">
        <f t="shared" si="17"/>
        <v>-287247.64621944743</v>
      </c>
    </row>
    <row r="153" spans="6:11">
      <c r="F153" s="11">
        <v>146</v>
      </c>
      <c r="G153" s="191">
        <f t="shared" si="15"/>
        <v>-287247.64621944743</v>
      </c>
      <c r="H153" s="191">
        <f t="shared" si="16"/>
        <v>3907.1949228426965</v>
      </c>
      <c r="I153" s="191">
        <f t="shared" si="13"/>
        <v>-1608.5868188289057</v>
      </c>
      <c r="J153" s="191">
        <f t="shared" si="14"/>
        <v>2298.608104013791</v>
      </c>
      <c r="K153" s="191">
        <f t="shared" si="17"/>
        <v>-291154.84114229016</v>
      </c>
    </row>
    <row r="154" spans="6:11">
      <c r="F154" s="11">
        <v>147</v>
      </c>
      <c r="G154" s="191">
        <f t="shared" si="15"/>
        <v>-291154.84114229016</v>
      </c>
      <c r="H154" s="191">
        <f t="shared" si="16"/>
        <v>3929.0752144106164</v>
      </c>
      <c r="I154" s="191">
        <f t="shared" si="13"/>
        <v>-1630.4671103968251</v>
      </c>
      <c r="J154" s="191">
        <f t="shared" si="14"/>
        <v>2298.608104013791</v>
      </c>
      <c r="K154" s="191">
        <f t="shared" si="17"/>
        <v>-295083.91635670076</v>
      </c>
    </row>
    <row r="155" spans="6:11">
      <c r="F155" s="11">
        <v>148</v>
      </c>
      <c r="G155" s="191">
        <f t="shared" si="15"/>
        <v>-295083.91635670076</v>
      </c>
      <c r="H155" s="191">
        <f t="shared" si="16"/>
        <v>3951.0780356113155</v>
      </c>
      <c r="I155" s="191">
        <f t="shared" si="13"/>
        <v>-1652.4699315975245</v>
      </c>
      <c r="J155" s="191">
        <f t="shared" si="14"/>
        <v>2298.608104013791</v>
      </c>
      <c r="K155" s="191">
        <f t="shared" si="17"/>
        <v>-299034.99439231207</v>
      </c>
    </row>
    <row r="156" spans="6:11">
      <c r="F156" s="11">
        <v>149</v>
      </c>
      <c r="G156" s="191">
        <f t="shared" si="15"/>
        <v>-299034.99439231207</v>
      </c>
      <c r="H156" s="191">
        <f t="shared" si="16"/>
        <v>3973.2040726107389</v>
      </c>
      <c r="I156" s="191">
        <f t="shared" si="13"/>
        <v>-1674.5959685969478</v>
      </c>
      <c r="J156" s="191">
        <f t="shared" si="14"/>
        <v>2298.608104013791</v>
      </c>
      <c r="K156" s="191">
        <f t="shared" si="17"/>
        <v>-303008.19846492284</v>
      </c>
    </row>
    <row r="157" spans="6:11">
      <c r="F157" s="11">
        <v>150</v>
      </c>
      <c r="G157" s="191">
        <f t="shared" si="15"/>
        <v>-303008.19846492284</v>
      </c>
      <c r="H157" s="191">
        <f t="shared" si="16"/>
        <v>3995.4540154173592</v>
      </c>
      <c r="I157" s="191">
        <f t="shared" si="13"/>
        <v>-1696.8459114035682</v>
      </c>
      <c r="J157" s="191">
        <f t="shared" si="14"/>
        <v>2298.608104013791</v>
      </c>
      <c r="K157" s="191">
        <f t="shared" si="17"/>
        <v>-307003.65248034021</v>
      </c>
    </row>
    <row r="158" spans="6:11">
      <c r="F158" s="11">
        <v>151</v>
      </c>
      <c r="G158" s="191">
        <f t="shared" si="15"/>
        <v>-307003.65248034021</v>
      </c>
      <c r="H158" s="191">
        <f t="shared" si="16"/>
        <v>4017.8285579036965</v>
      </c>
      <c r="I158" s="191">
        <f t="shared" si="13"/>
        <v>-1719.2204538899055</v>
      </c>
      <c r="J158" s="191">
        <f t="shared" si="14"/>
        <v>2298.608104013791</v>
      </c>
      <c r="K158" s="191">
        <f t="shared" si="17"/>
        <v>-311021.48103824392</v>
      </c>
    </row>
    <row r="159" spans="6:11">
      <c r="F159" s="11">
        <v>152</v>
      </c>
      <c r="G159" s="191">
        <f t="shared" si="15"/>
        <v>-311021.48103824392</v>
      </c>
      <c r="H159" s="191">
        <f t="shared" si="16"/>
        <v>4040.3283978279569</v>
      </c>
      <c r="I159" s="191">
        <f t="shared" si="13"/>
        <v>-1741.7202938141661</v>
      </c>
      <c r="J159" s="191">
        <f t="shared" si="14"/>
        <v>2298.608104013791</v>
      </c>
      <c r="K159" s="191">
        <f t="shared" si="17"/>
        <v>-315061.8094360719</v>
      </c>
    </row>
    <row r="160" spans="6:11">
      <c r="F160" s="11">
        <v>153</v>
      </c>
      <c r="G160" s="191">
        <f t="shared" si="15"/>
        <v>-315061.8094360719</v>
      </c>
      <c r="H160" s="191">
        <f t="shared" si="16"/>
        <v>4062.9542368557941</v>
      </c>
      <c r="I160" s="191">
        <f t="shared" si="13"/>
        <v>-1764.3461328420028</v>
      </c>
      <c r="J160" s="191">
        <f t="shared" si="14"/>
        <v>2298.608104013791</v>
      </c>
      <c r="K160" s="191">
        <f t="shared" si="17"/>
        <v>-319124.76367292769</v>
      </c>
    </row>
    <row r="161" spans="6:11">
      <c r="F161" s="11">
        <v>154</v>
      </c>
      <c r="G161" s="191">
        <f t="shared" si="15"/>
        <v>-319124.76367292769</v>
      </c>
      <c r="H161" s="191">
        <f t="shared" si="16"/>
        <v>4085.7067805821862</v>
      </c>
      <c r="I161" s="191">
        <f t="shared" si="13"/>
        <v>-1787.0986765683954</v>
      </c>
      <c r="J161" s="191">
        <f t="shared" si="14"/>
        <v>2298.608104013791</v>
      </c>
      <c r="K161" s="191">
        <f t="shared" si="17"/>
        <v>-323210.47045350989</v>
      </c>
    </row>
    <row r="162" spans="6:11">
      <c r="F162" s="11">
        <v>155</v>
      </c>
      <c r="G162" s="191">
        <f t="shared" si="15"/>
        <v>-323210.47045350989</v>
      </c>
      <c r="H162" s="191">
        <f t="shared" si="16"/>
        <v>4108.5867385534466</v>
      </c>
      <c r="I162" s="191">
        <f t="shared" si="13"/>
        <v>-1809.9786345396556</v>
      </c>
      <c r="J162" s="191">
        <f t="shared" si="14"/>
        <v>2298.608104013791</v>
      </c>
      <c r="K162" s="191">
        <f t="shared" si="17"/>
        <v>-327319.05719206331</v>
      </c>
    </row>
    <row r="163" spans="6:11">
      <c r="F163" s="195">
        <v>156</v>
      </c>
      <c r="G163" s="192">
        <f t="shared" si="15"/>
        <v>-327319.05719206331</v>
      </c>
      <c r="H163" s="192">
        <f t="shared" si="16"/>
        <v>4131.5948242893455</v>
      </c>
      <c r="I163" s="191">
        <f t="shared" si="13"/>
        <v>-1832.9867202755547</v>
      </c>
      <c r="J163" s="192">
        <f t="shared" si="14"/>
        <v>2298.608104013791</v>
      </c>
      <c r="K163" s="192">
        <f t="shared" si="17"/>
        <v>-331450.65201635263</v>
      </c>
    </row>
    <row r="164" spans="6:11">
      <c r="G164" s="187"/>
      <c r="H164" s="187"/>
      <c r="I164" s="187"/>
      <c r="J164" s="187"/>
      <c r="K164" s="187"/>
    </row>
    <row r="165" spans="6:11">
      <c r="G165" s="187"/>
      <c r="H165" s="187"/>
      <c r="I165" s="187"/>
      <c r="J165" s="187"/>
      <c r="K165" s="187"/>
    </row>
    <row r="166" spans="6:11">
      <c r="G166" s="187"/>
      <c r="H166" s="187"/>
      <c r="I166" s="187"/>
      <c r="J166" s="187"/>
      <c r="K166" s="187"/>
    </row>
    <row r="167" spans="6:11">
      <c r="G167" s="187"/>
      <c r="H167" s="187"/>
      <c r="I167" s="187"/>
      <c r="J167" s="187"/>
      <c r="K167" s="187"/>
    </row>
    <row r="168" spans="6:11">
      <c r="G168" s="187"/>
      <c r="H168" s="187"/>
      <c r="I168" s="187"/>
      <c r="J168" s="187"/>
      <c r="K168" s="187"/>
    </row>
    <row r="169" spans="6:11">
      <c r="G169" s="187"/>
      <c r="H169" s="187"/>
      <c r="I169" s="187"/>
      <c r="J169" s="187"/>
      <c r="K169" s="187"/>
    </row>
    <row r="170" spans="6:11">
      <c r="G170" s="187"/>
      <c r="H170" s="187"/>
      <c r="I170" s="187"/>
      <c r="J170" s="187"/>
      <c r="K170" s="187"/>
    </row>
    <row r="171" spans="6:11">
      <c r="G171" s="187"/>
      <c r="H171" s="187"/>
      <c r="I171" s="187"/>
      <c r="J171" s="187"/>
      <c r="K171" s="187"/>
    </row>
    <row r="172" spans="6:11">
      <c r="G172" s="187"/>
      <c r="H172" s="187"/>
      <c r="I172" s="187"/>
      <c r="J172" s="187"/>
      <c r="K172" s="187"/>
    </row>
    <row r="173" spans="6:11">
      <c r="G173" s="187"/>
      <c r="H173" s="187"/>
      <c r="I173" s="187"/>
      <c r="J173" s="187"/>
      <c r="K173" s="187"/>
    </row>
    <row r="174" spans="6:11">
      <c r="G174" s="187"/>
      <c r="H174" s="187"/>
      <c r="I174" s="187"/>
      <c r="J174" s="187"/>
      <c r="K174" s="187"/>
    </row>
    <row r="175" spans="6:11">
      <c r="G175" s="187"/>
      <c r="H175" s="187"/>
      <c r="I175" s="187"/>
      <c r="J175" s="187"/>
      <c r="K175" s="187"/>
    </row>
    <row r="176" spans="6:11">
      <c r="G176" s="187"/>
      <c r="H176" s="187"/>
      <c r="I176" s="187"/>
      <c r="J176" s="187"/>
      <c r="K176" s="187"/>
    </row>
    <row r="177" spans="7:11">
      <c r="G177" s="187"/>
      <c r="H177" s="187"/>
      <c r="I177" s="187"/>
      <c r="J177" s="187"/>
      <c r="K177" s="187"/>
    </row>
    <row r="178" spans="7:11">
      <c r="G178" s="187"/>
      <c r="H178" s="187"/>
      <c r="I178" s="187"/>
      <c r="J178" s="187"/>
      <c r="K178" s="187"/>
    </row>
    <row r="179" spans="7:11">
      <c r="G179" s="187"/>
      <c r="H179" s="187"/>
      <c r="I179" s="187"/>
      <c r="J179" s="187"/>
      <c r="K179" s="187"/>
    </row>
    <row r="180" spans="7:11">
      <c r="G180" s="187"/>
      <c r="H180" s="187"/>
      <c r="I180" s="187"/>
      <c r="J180" s="187"/>
      <c r="K180" s="187"/>
    </row>
    <row r="181" spans="7:11">
      <c r="G181" s="187"/>
      <c r="H181" s="187"/>
      <c r="I181" s="187"/>
      <c r="J181" s="187"/>
      <c r="K181" s="187"/>
    </row>
    <row r="182" spans="7:11">
      <c r="G182" s="187"/>
      <c r="H182" s="187"/>
      <c r="I182" s="187"/>
      <c r="J182" s="187"/>
      <c r="K182" s="187"/>
    </row>
    <row r="183" spans="7:11">
      <c r="G183" s="187"/>
      <c r="H183" s="187"/>
      <c r="I183" s="187"/>
      <c r="J183" s="187"/>
      <c r="K183" s="187"/>
    </row>
    <row r="184" spans="7:11">
      <c r="G184" s="187"/>
      <c r="H184" s="187"/>
      <c r="I184" s="187"/>
      <c r="J184" s="187"/>
      <c r="K184" s="187"/>
    </row>
    <row r="185" spans="7:11">
      <c r="G185" s="187"/>
      <c r="H185" s="187"/>
      <c r="I185" s="187"/>
      <c r="J185" s="187"/>
      <c r="K185" s="187"/>
    </row>
    <row r="186" spans="7:11">
      <c r="G186" s="187"/>
      <c r="H186" s="187"/>
      <c r="I186" s="187"/>
      <c r="J186" s="187"/>
      <c r="K186" s="187"/>
    </row>
    <row r="187" spans="7:11">
      <c r="G187" s="187"/>
      <c r="H187" s="187"/>
      <c r="I187" s="187"/>
      <c r="J187" s="187"/>
      <c r="K187" s="187"/>
    </row>
    <row r="188" spans="7:11">
      <c r="G188" s="187"/>
      <c r="H188" s="187"/>
      <c r="I188" s="187"/>
      <c r="J188" s="187"/>
      <c r="K188" s="187"/>
    </row>
    <row r="189" spans="7:11">
      <c r="G189" s="187"/>
      <c r="H189" s="187"/>
      <c r="I189" s="187"/>
      <c r="J189" s="187"/>
      <c r="K189" s="187"/>
    </row>
    <row r="190" spans="7:11">
      <c r="G190" s="187"/>
      <c r="H190" s="187"/>
      <c r="I190" s="187"/>
      <c r="J190" s="187"/>
      <c r="K190" s="187"/>
    </row>
    <row r="191" spans="7:11">
      <c r="G191" s="187"/>
      <c r="H191" s="187"/>
      <c r="I191" s="187"/>
      <c r="J191" s="187"/>
      <c r="K191" s="187"/>
    </row>
    <row r="192" spans="7:11">
      <c r="G192" s="187"/>
      <c r="H192" s="187"/>
      <c r="I192" s="187"/>
      <c r="J192" s="187"/>
      <c r="K192" s="187"/>
    </row>
    <row r="193" spans="7:11">
      <c r="G193" s="187"/>
      <c r="H193" s="187"/>
      <c r="I193" s="187"/>
      <c r="J193" s="187"/>
      <c r="K193" s="187"/>
    </row>
    <row r="194" spans="7:11">
      <c r="G194" s="187"/>
      <c r="H194" s="187"/>
      <c r="I194" s="187"/>
      <c r="J194" s="187"/>
      <c r="K194" s="187"/>
    </row>
    <row r="195" spans="7:11">
      <c r="G195" s="187"/>
      <c r="H195" s="187"/>
      <c r="I195" s="187"/>
      <c r="J195" s="187"/>
      <c r="K195" s="187"/>
    </row>
    <row r="196" spans="7:11">
      <c r="G196" s="187"/>
      <c r="H196" s="187"/>
      <c r="I196" s="187"/>
      <c r="J196" s="187"/>
      <c r="K196" s="187"/>
    </row>
    <row r="197" spans="7:11">
      <c r="G197" s="187"/>
      <c r="H197" s="187"/>
      <c r="I197" s="187"/>
      <c r="J197" s="187"/>
      <c r="K197" s="187"/>
    </row>
    <row r="198" spans="7:11">
      <c r="G198" s="187"/>
      <c r="H198" s="187"/>
      <c r="I198" s="187"/>
      <c r="J198" s="187"/>
      <c r="K198" s="187"/>
    </row>
    <row r="199" spans="7:11">
      <c r="G199" s="187"/>
      <c r="H199" s="187"/>
      <c r="I199" s="187"/>
      <c r="J199" s="187"/>
      <c r="K199" s="187"/>
    </row>
    <row r="200" spans="7:11">
      <c r="G200" s="187"/>
      <c r="H200" s="187"/>
      <c r="I200" s="187"/>
      <c r="J200" s="187"/>
      <c r="K200" s="187"/>
    </row>
    <row r="201" spans="7:11">
      <c r="G201" s="187"/>
      <c r="H201" s="187"/>
      <c r="I201" s="187"/>
      <c r="J201" s="187"/>
      <c r="K201" s="187"/>
    </row>
    <row r="202" spans="7:11">
      <c r="G202" s="187"/>
      <c r="H202" s="187"/>
      <c r="I202" s="187"/>
      <c r="J202" s="187"/>
      <c r="K202" s="187"/>
    </row>
    <row r="203" spans="7:11">
      <c r="G203" s="187"/>
      <c r="H203" s="187"/>
      <c r="I203" s="187"/>
      <c r="J203" s="187"/>
      <c r="K203" s="187"/>
    </row>
    <row r="204" spans="7:11">
      <c r="G204" s="187"/>
      <c r="H204" s="187"/>
      <c r="I204" s="187"/>
      <c r="J204" s="187"/>
      <c r="K204" s="187"/>
    </row>
    <row r="205" spans="7:11">
      <c r="G205" s="187"/>
      <c r="H205" s="187"/>
      <c r="I205" s="187"/>
      <c r="J205" s="187"/>
      <c r="K205" s="187"/>
    </row>
    <row r="206" spans="7:11">
      <c r="G206" s="187"/>
      <c r="H206" s="187"/>
      <c r="I206" s="187"/>
      <c r="J206" s="187"/>
      <c r="K206" s="187"/>
    </row>
    <row r="207" spans="7:11">
      <c r="G207" s="187"/>
      <c r="H207" s="187"/>
      <c r="I207" s="187"/>
      <c r="J207" s="187"/>
      <c r="K207" s="187"/>
    </row>
    <row r="208" spans="7:11">
      <c r="G208" s="187"/>
      <c r="H208" s="187"/>
      <c r="I208" s="187"/>
      <c r="J208" s="187"/>
      <c r="K208" s="187"/>
    </row>
    <row r="209" spans="7:11">
      <c r="G209" s="187"/>
      <c r="H209" s="187"/>
      <c r="I209" s="187"/>
      <c r="J209" s="187"/>
      <c r="K209" s="187"/>
    </row>
    <row r="210" spans="7:11">
      <c r="G210" s="187"/>
      <c r="H210" s="187"/>
      <c r="I210" s="187"/>
      <c r="J210" s="187"/>
      <c r="K210" s="187"/>
    </row>
    <row r="211" spans="7:11">
      <c r="G211" s="187"/>
      <c r="H211" s="187"/>
      <c r="I211" s="187"/>
      <c r="J211" s="187"/>
      <c r="K211" s="187"/>
    </row>
    <row r="212" spans="7:11">
      <c r="G212" s="187"/>
      <c r="H212" s="187"/>
      <c r="I212" s="187"/>
      <c r="J212" s="187"/>
      <c r="K212" s="187"/>
    </row>
    <row r="213" spans="7:11">
      <c r="G213" s="187"/>
      <c r="H213" s="187"/>
      <c r="I213" s="187"/>
      <c r="J213" s="187"/>
      <c r="K213" s="187"/>
    </row>
    <row r="214" spans="7:11">
      <c r="G214" s="187"/>
      <c r="H214" s="187"/>
      <c r="I214" s="187"/>
      <c r="J214" s="187"/>
      <c r="K214" s="187"/>
    </row>
    <row r="215" spans="7:11">
      <c r="G215" s="187"/>
      <c r="H215" s="187"/>
      <c r="I215" s="187"/>
      <c r="J215" s="187"/>
      <c r="K215" s="187"/>
    </row>
    <row r="216" spans="7:11">
      <c r="G216" s="187"/>
      <c r="H216" s="187"/>
      <c r="I216" s="187"/>
      <c r="J216" s="187"/>
      <c r="K216" s="187"/>
    </row>
    <row r="217" spans="7:11">
      <c r="G217" s="187"/>
      <c r="H217" s="187"/>
      <c r="I217" s="187"/>
      <c r="J217" s="187"/>
      <c r="K217" s="187"/>
    </row>
    <row r="218" spans="7:11">
      <c r="G218" s="187"/>
      <c r="H218" s="187"/>
      <c r="I218" s="187"/>
      <c r="J218" s="187"/>
      <c r="K218" s="187"/>
    </row>
    <row r="219" spans="7:11">
      <c r="G219" s="187"/>
      <c r="H219" s="187"/>
      <c r="I219" s="187"/>
      <c r="J219" s="187"/>
      <c r="K219" s="187"/>
    </row>
    <row r="220" spans="7:11">
      <c r="G220" s="187"/>
      <c r="H220" s="187"/>
      <c r="I220" s="187"/>
      <c r="J220" s="187"/>
      <c r="K220" s="187"/>
    </row>
    <row r="221" spans="7:11">
      <c r="G221" s="187"/>
      <c r="H221" s="187"/>
      <c r="I221" s="187"/>
      <c r="J221" s="187"/>
      <c r="K221" s="187"/>
    </row>
    <row r="222" spans="7:11">
      <c r="G222" s="187"/>
      <c r="H222" s="187"/>
      <c r="I222" s="187"/>
      <c r="J222" s="187"/>
      <c r="K222" s="187"/>
    </row>
    <row r="223" spans="7:11">
      <c r="G223" s="187"/>
      <c r="H223" s="187"/>
      <c r="I223" s="187"/>
      <c r="J223" s="187"/>
      <c r="K223" s="187"/>
    </row>
    <row r="224" spans="7:11">
      <c r="G224" s="187"/>
      <c r="H224" s="187"/>
      <c r="I224" s="187"/>
      <c r="J224" s="187"/>
      <c r="K224" s="187"/>
    </row>
    <row r="225" spans="7:11">
      <c r="G225" s="187"/>
      <c r="H225" s="187"/>
      <c r="I225" s="187"/>
      <c r="J225" s="187"/>
      <c r="K225" s="187"/>
    </row>
    <row r="226" spans="7:11">
      <c r="G226" s="187"/>
      <c r="H226" s="187"/>
      <c r="I226" s="187"/>
      <c r="J226" s="187"/>
      <c r="K226" s="187"/>
    </row>
    <row r="227" spans="7:11">
      <c r="G227" s="187"/>
      <c r="H227" s="187"/>
      <c r="I227" s="187"/>
      <c r="J227" s="187"/>
      <c r="K227" s="187"/>
    </row>
    <row r="228" spans="7:11">
      <c r="G228" s="187"/>
      <c r="H228" s="187"/>
      <c r="I228" s="187"/>
      <c r="J228" s="187"/>
      <c r="K228" s="187"/>
    </row>
    <row r="229" spans="7:11">
      <c r="G229" s="187"/>
      <c r="H229" s="187"/>
      <c r="I229" s="187"/>
      <c r="J229" s="187"/>
      <c r="K229" s="187"/>
    </row>
    <row r="230" spans="7:11">
      <c r="G230" s="187"/>
      <c r="H230" s="187"/>
      <c r="I230" s="187"/>
      <c r="J230" s="187"/>
      <c r="K230" s="187"/>
    </row>
    <row r="231" spans="7:11">
      <c r="G231" s="187"/>
      <c r="H231" s="187"/>
      <c r="I231" s="187"/>
      <c r="J231" s="187"/>
      <c r="K231" s="187"/>
    </row>
    <row r="232" spans="7:11">
      <c r="G232" s="187"/>
      <c r="H232" s="187"/>
      <c r="I232" s="187"/>
      <c r="J232" s="187"/>
      <c r="K232" s="187"/>
    </row>
    <row r="233" spans="7:11">
      <c r="G233" s="187"/>
      <c r="H233" s="187"/>
      <c r="I233" s="187"/>
      <c r="J233" s="187"/>
      <c r="K233" s="187"/>
    </row>
    <row r="234" spans="7:11">
      <c r="G234" s="187"/>
      <c r="H234" s="187"/>
      <c r="I234" s="187"/>
      <c r="J234" s="187"/>
      <c r="K234" s="187"/>
    </row>
    <row r="235" spans="7:11">
      <c r="G235" s="187"/>
      <c r="H235" s="187"/>
      <c r="I235" s="187"/>
      <c r="J235" s="187"/>
      <c r="K235" s="187"/>
    </row>
    <row r="236" spans="7:11">
      <c r="G236" s="187"/>
      <c r="H236" s="187"/>
      <c r="I236" s="187"/>
      <c r="J236" s="187"/>
      <c r="K236" s="187"/>
    </row>
    <row r="237" spans="7:11">
      <c r="G237" s="187"/>
      <c r="H237" s="187"/>
      <c r="I237" s="187"/>
      <c r="J237" s="187"/>
      <c r="K237" s="187"/>
    </row>
    <row r="238" spans="7:11">
      <c r="G238" s="187"/>
      <c r="H238" s="187"/>
      <c r="I238" s="187"/>
      <c r="J238" s="187"/>
      <c r="K238" s="187"/>
    </row>
    <row r="239" spans="7:11">
      <c r="G239" s="187"/>
      <c r="H239" s="187"/>
      <c r="I239" s="187"/>
      <c r="J239" s="187"/>
      <c r="K239" s="187"/>
    </row>
    <row r="240" spans="7:11">
      <c r="G240" s="187"/>
      <c r="H240" s="187"/>
      <c r="I240" s="187"/>
      <c r="J240" s="187"/>
      <c r="K240" s="187"/>
    </row>
    <row r="241" spans="7:11">
      <c r="G241" s="187"/>
      <c r="H241" s="187"/>
      <c r="I241" s="187"/>
      <c r="J241" s="187"/>
      <c r="K241" s="187"/>
    </row>
    <row r="242" spans="7:11">
      <c r="G242" s="187"/>
      <c r="H242" s="187"/>
      <c r="I242" s="187"/>
      <c r="J242" s="187"/>
      <c r="K242" s="187"/>
    </row>
    <row r="243" spans="7:11">
      <c r="G243" s="187"/>
      <c r="H243" s="187"/>
      <c r="I243" s="187"/>
      <c r="J243" s="187"/>
      <c r="K243" s="187"/>
    </row>
    <row r="244" spans="7:11">
      <c r="G244" s="187"/>
      <c r="H244" s="187"/>
      <c r="I244" s="187"/>
      <c r="J244" s="187"/>
      <c r="K244" s="187"/>
    </row>
    <row r="245" spans="7:11">
      <c r="G245" s="187"/>
      <c r="H245" s="187"/>
      <c r="I245" s="187"/>
      <c r="J245" s="187"/>
      <c r="K245" s="187"/>
    </row>
    <row r="246" spans="7:11">
      <c r="G246" s="187"/>
      <c r="H246" s="187"/>
      <c r="I246" s="187"/>
      <c r="J246" s="187"/>
      <c r="K246" s="187"/>
    </row>
    <row r="247" spans="7:11">
      <c r="G247" s="187"/>
      <c r="H247" s="187"/>
      <c r="I247" s="187"/>
      <c r="J247" s="187"/>
      <c r="K247" s="187"/>
    </row>
    <row r="248" spans="7:11">
      <c r="G248" s="187"/>
      <c r="H248" s="187"/>
      <c r="I248" s="187"/>
      <c r="J248" s="187"/>
      <c r="K248" s="187"/>
    </row>
    <row r="249" spans="7:11">
      <c r="G249" s="187"/>
      <c r="H249" s="187"/>
      <c r="I249" s="187"/>
      <c r="J249" s="187"/>
      <c r="K249" s="187"/>
    </row>
    <row r="250" spans="7:11">
      <c r="G250" s="187"/>
      <c r="H250" s="187"/>
      <c r="I250" s="187"/>
      <c r="J250" s="187"/>
      <c r="K250" s="187"/>
    </row>
    <row r="251" spans="7:11">
      <c r="G251" s="187"/>
      <c r="H251" s="187"/>
      <c r="I251" s="187"/>
      <c r="J251" s="187"/>
      <c r="K251" s="187"/>
    </row>
    <row r="252" spans="7:11">
      <c r="G252" s="187"/>
      <c r="H252" s="187"/>
      <c r="I252" s="187"/>
      <c r="J252" s="187"/>
      <c r="K252" s="187"/>
    </row>
    <row r="253" spans="7:11">
      <c r="G253" s="187"/>
      <c r="H253" s="187"/>
      <c r="I253" s="187"/>
      <c r="J253" s="187"/>
      <c r="K253" s="187"/>
    </row>
    <row r="254" spans="7:11">
      <c r="G254" s="187"/>
      <c r="H254" s="187"/>
      <c r="I254" s="187"/>
      <c r="J254" s="187"/>
      <c r="K254" s="187"/>
    </row>
    <row r="255" spans="7:11">
      <c r="G255" s="187"/>
      <c r="H255" s="187"/>
      <c r="I255" s="187"/>
      <c r="J255" s="187"/>
      <c r="K255" s="187"/>
    </row>
    <row r="256" spans="7:11">
      <c r="G256" s="187"/>
      <c r="H256" s="187"/>
      <c r="I256" s="187"/>
      <c r="J256" s="187"/>
      <c r="K256" s="187"/>
    </row>
    <row r="257" spans="7:11">
      <c r="G257" s="187"/>
      <c r="H257" s="187"/>
      <c r="I257" s="187"/>
      <c r="J257" s="187"/>
      <c r="K257" s="187"/>
    </row>
    <row r="258" spans="7:11">
      <c r="G258" s="187"/>
      <c r="H258" s="187"/>
      <c r="I258" s="187"/>
      <c r="J258" s="187"/>
      <c r="K258" s="187"/>
    </row>
    <row r="259" spans="7:11">
      <c r="G259" s="187"/>
      <c r="H259" s="187"/>
      <c r="I259" s="187"/>
      <c r="J259" s="187"/>
      <c r="K259" s="187"/>
    </row>
    <row r="260" spans="7:11">
      <c r="G260" s="187"/>
      <c r="H260" s="187"/>
      <c r="I260" s="187"/>
      <c r="J260" s="187"/>
      <c r="K260" s="187"/>
    </row>
    <row r="261" spans="7:11">
      <c r="G261" s="187"/>
      <c r="H261" s="187"/>
      <c r="I261" s="187"/>
      <c r="J261" s="187"/>
      <c r="K261" s="187"/>
    </row>
    <row r="262" spans="7:11">
      <c r="G262" s="187"/>
      <c r="H262" s="187"/>
      <c r="I262" s="187"/>
      <c r="J262" s="187"/>
      <c r="K262" s="187"/>
    </row>
    <row r="263" spans="7:11">
      <c r="G263" s="187"/>
      <c r="H263" s="187"/>
      <c r="I263" s="187"/>
      <c r="J263" s="187"/>
      <c r="K263" s="187"/>
    </row>
    <row r="264" spans="7:11">
      <c r="G264" s="187"/>
      <c r="H264" s="187"/>
      <c r="I264" s="187"/>
      <c r="J264" s="187"/>
      <c r="K264" s="187"/>
    </row>
    <row r="265" spans="7:11">
      <c r="G265" s="187"/>
      <c r="H265" s="187"/>
      <c r="I265" s="187"/>
      <c r="J265" s="187"/>
      <c r="K265" s="187"/>
    </row>
    <row r="266" spans="7:11">
      <c r="G266" s="187"/>
      <c r="H266" s="187"/>
      <c r="I266" s="187"/>
      <c r="J266" s="187"/>
      <c r="K266" s="187"/>
    </row>
    <row r="267" spans="7:11">
      <c r="G267" s="187"/>
      <c r="H267" s="187"/>
      <c r="I267" s="187"/>
      <c r="J267" s="187"/>
      <c r="K267" s="187"/>
    </row>
    <row r="268" spans="7:11">
      <c r="G268" s="187"/>
      <c r="H268" s="187"/>
      <c r="I268" s="187"/>
      <c r="J268" s="187"/>
      <c r="K268" s="187"/>
    </row>
    <row r="269" spans="7:11">
      <c r="G269" s="187"/>
      <c r="H269" s="187"/>
      <c r="I269" s="187"/>
      <c r="J269" s="187"/>
      <c r="K269" s="187"/>
    </row>
    <row r="270" spans="7:11">
      <c r="G270" s="187"/>
      <c r="H270" s="187"/>
      <c r="I270" s="187"/>
      <c r="J270" s="187"/>
      <c r="K270" s="187"/>
    </row>
    <row r="271" spans="7:11">
      <c r="G271" s="187"/>
      <c r="H271" s="187"/>
      <c r="I271" s="187"/>
      <c r="J271" s="187"/>
      <c r="K271" s="187"/>
    </row>
    <row r="272" spans="7:11">
      <c r="G272" s="187"/>
      <c r="H272" s="187"/>
      <c r="I272" s="187"/>
      <c r="J272" s="187"/>
      <c r="K272" s="187"/>
    </row>
    <row r="273" spans="7:11">
      <c r="G273" s="187"/>
      <c r="H273" s="187"/>
      <c r="I273" s="187"/>
      <c r="J273" s="187"/>
      <c r="K273" s="187"/>
    </row>
    <row r="274" spans="7:11">
      <c r="G274" s="187"/>
      <c r="H274" s="187"/>
      <c r="I274" s="187"/>
      <c r="J274" s="187"/>
      <c r="K274" s="187"/>
    </row>
    <row r="275" spans="7:11">
      <c r="G275" s="187"/>
      <c r="H275" s="187"/>
      <c r="I275" s="187"/>
      <c r="J275" s="187"/>
      <c r="K275" s="187"/>
    </row>
    <row r="276" spans="7:11">
      <c r="G276" s="187"/>
      <c r="H276" s="187"/>
      <c r="I276" s="187"/>
      <c r="J276" s="187"/>
      <c r="K276" s="187"/>
    </row>
    <row r="277" spans="7:11">
      <c r="G277" s="187"/>
      <c r="H277" s="187"/>
      <c r="I277" s="187"/>
      <c r="J277" s="187"/>
      <c r="K277" s="187"/>
    </row>
    <row r="278" spans="7:11">
      <c r="G278" s="187"/>
      <c r="H278" s="187"/>
      <c r="I278" s="187"/>
      <c r="J278" s="187"/>
      <c r="K278" s="187"/>
    </row>
    <row r="279" spans="7:11">
      <c r="G279" s="187"/>
      <c r="H279" s="187"/>
      <c r="I279" s="187"/>
      <c r="J279" s="187"/>
      <c r="K279" s="187"/>
    </row>
    <row r="280" spans="7:11">
      <c r="G280" s="187"/>
      <c r="H280" s="187"/>
      <c r="I280" s="187"/>
      <c r="J280" s="187"/>
      <c r="K280" s="187"/>
    </row>
    <row r="281" spans="7:11">
      <c r="G281" s="187"/>
      <c r="H281" s="187"/>
      <c r="I281" s="187"/>
      <c r="J281" s="187"/>
      <c r="K281" s="187"/>
    </row>
    <row r="282" spans="7:11">
      <c r="G282" s="187"/>
      <c r="H282" s="187"/>
      <c r="I282" s="187"/>
      <c r="J282" s="187"/>
      <c r="K282" s="187"/>
    </row>
    <row r="283" spans="7:11">
      <c r="G283" s="187"/>
      <c r="H283" s="187"/>
      <c r="I283" s="187"/>
      <c r="J283" s="187"/>
      <c r="K283" s="187"/>
    </row>
    <row r="284" spans="7:11">
      <c r="G284" s="187"/>
      <c r="H284" s="187"/>
      <c r="I284" s="187"/>
      <c r="J284" s="187"/>
      <c r="K284" s="187"/>
    </row>
    <row r="285" spans="7:11">
      <c r="G285" s="187"/>
      <c r="H285" s="187"/>
      <c r="I285" s="187"/>
      <c r="J285" s="187"/>
      <c r="K285" s="187"/>
    </row>
    <row r="286" spans="7:11">
      <c r="G286" s="187"/>
      <c r="H286" s="187"/>
      <c r="I286" s="187"/>
      <c r="J286" s="187"/>
      <c r="K286" s="187"/>
    </row>
    <row r="287" spans="7:11">
      <c r="G287" s="187"/>
      <c r="H287" s="187"/>
      <c r="I287" s="187"/>
      <c r="J287" s="187"/>
      <c r="K287" s="187"/>
    </row>
    <row r="288" spans="7:11">
      <c r="G288" s="187"/>
      <c r="H288" s="187"/>
      <c r="I288" s="187"/>
      <c r="J288" s="187"/>
      <c r="K288" s="187"/>
    </row>
    <row r="289" spans="7:11">
      <c r="G289" s="187"/>
      <c r="H289" s="187"/>
      <c r="I289" s="187"/>
      <c r="J289" s="187"/>
      <c r="K289" s="187"/>
    </row>
    <row r="290" spans="7:11">
      <c r="G290" s="187"/>
      <c r="H290" s="187"/>
      <c r="I290" s="187"/>
      <c r="J290" s="187"/>
      <c r="K290" s="187"/>
    </row>
    <row r="291" spans="7:11">
      <c r="G291" s="187"/>
      <c r="H291" s="187"/>
      <c r="I291" s="187"/>
      <c r="J291" s="187"/>
      <c r="K291" s="187"/>
    </row>
    <row r="292" spans="7:11">
      <c r="G292" s="187"/>
      <c r="H292" s="187"/>
      <c r="I292" s="187"/>
      <c r="J292" s="187"/>
      <c r="K292" s="187"/>
    </row>
    <row r="293" spans="7:11">
      <c r="G293" s="187"/>
      <c r="H293" s="187"/>
      <c r="I293" s="187"/>
      <c r="J293" s="187"/>
      <c r="K293" s="187"/>
    </row>
    <row r="294" spans="7:11">
      <c r="G294" s="187"/>
      <c r="H294" s="187"/>
      <c r="I294" s="187"/>
      <c r="J294" s="187"/>
      <c r="K294" s="187"/>
    </row>
    <row r="295" spans="7:11">
      <c r="G295" s="187"/>
      <c r="H295" s="187"/>
      <c r="I295" s="187"/>
      <c r="J295" s="187"/>
      <c r="K295" s="187"/>
    </row>
    <row r="296" spans="7:11">
      <c r="G296" s="187"/>
      <c r="H296" s="187"/>
      <c r="I296" s="187"/>
      <c r="J296" s="187"/>
      <c r="K296" s="187"/>
    </row>
    <row r="297" spans="7:11">
      <c r="G297" s="187"/>
      <c r="H297" s="187"/>
      <c r="I297" s="187"/>
      <c r="J297" s="187"/>
      <c r="K297" s="187"/>
    </row>
    <row r="298" spans="7:11">
      <c r="G298" s="187"/>
      <c r="H298" s="187"/>
      <c r="I298" s="187"/>
      <c r="J298" s="187"/>
      <c r="K298" s="187"/>
    </row>
    <row r="299" spans="7:11">
      <c r="G299" s="187"/>
      <c r="H299" s="187"/>
      <c r="I299" s="187"/>
      <c r="J299" s="187"/>
      <c r="K299" s="187"/>
    </row>
    <row r="300" spans="7:11">
      <c r="G300" s="187"/>
      <c r="H300" s="187"/>
      <c r="I300" s="187"/>
      <c r="J300" s="187"/>
      <c r="K300" s="187"/>
    </row>
    <row r="301" spans="7:11">
      <c r="G301" s="187"/>
      <c r="H301" s="187"/>
      <c r="I301" s="187"/>
      <c r="J301" s="187"/>
      <c r="K301" s="187"/>
    </row>
    <row r="302" spans="7:11">
      <c r="G302" s="187"/>
      <c r="H302" s="187"/>
      <c r="I302" s="187"/>
      <c r="J302" s="187"/>
      <c r="K302" s="187"/>
    </row>
    <row r="303" spans="7:11">
      <c r="G303" s="187"/>
      <c r="H303" s="187"/>
      <c r="I303" s="187"/>
      <c r="J303" s="187"/>
      <c r="K303" s="187"/>
    </row>
    <row r="304" spans="7:11">
      <c r="G304" s="187"/>
      <c r="H304" s="187"/>
      <c r="I304" s="187"/>
      <c r="J304" s="187"/>
      <c r="K304" s="187"/>
    </row>
    <row r="305" spans="7:11">
      <c r="G305" s="187"/>
      <c r="H305" s="187"/>
      <c r="I305" s="187"/>
      <c r="J305" s="187"/>
      <c r="K305" s="187"/>
    </row>
    <row r="306" spans="7:11">
      <c r="G306" s="187"/>
      <c r="H306" s="187"/>
      <c r="I306" s="187"/>
      <c r="J306" s="187"/>
      <c r="K306" s="187"/>
    </row>
    <row r="307" spans="7:11">
      <c r="G307" s="187"/>
      <c r="H307" s="187"/>
      <c r="I307" s="187"/>
      <c r="J307" s="187"/>
      <c r="K307" s="187"/>
    </row>
  </sheetData>
  <mergeCells count="2">
    <mergeCell ref="F6:K6"/>
    <mergeCell ref="F2:J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KPI Variables Considered</vt:lpstr>
      <vt:lpstr>Backend</vt:lpstr>
      <vt:lpstr>AMMORTISATION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ANIL SHARMA</dc:creator>
  <cp:lastModifiedBy>ANIL SHARMA</cp:lastModifiedBy>
  <cp:lastPrinted>2024-05-15T08:57:58Z</cp:lastPrinted>
  <dcterms:created xsi:type="dcterms:W3CDTF">2024-05-08T15:55:14Z</dcterms:created>
  <dcterms:modified xsi:type="dcterms:W3CDTF">2024-11-11T03:38:48Z</dcterms:modified>
</cp:coreProperties>
</file>